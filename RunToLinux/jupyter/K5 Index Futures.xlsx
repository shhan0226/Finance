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GitPortfolio\Finance\RunToLinux\jupyter\"/>
    </mc:Choice>
  </mc:AlternateContent>
  <bookViews>
    <workbookView xWindow="0" yWindow="0" windowWidth="28800" windowHeight="12390" activeTab="3"/>
  </bookViews>
  <sheets>
    <sheet name="종목 기본정보" sheetId="1" r:id="rId1"/>
    <sheet name="일자별 주가" sheetId="2" r:id="rId2"/>
    <sheet name="일자별 시가총액" sheetId="3" r:id="rId3"/>
    <sheet name="선물" sheetId="4" r:id="rId4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4" l="1"/>
  <c r="C2" i="4"/>
  <c r="G2" i="3"/>
  <c r="H2" i="3" l="1"/>
  <c r="B2" i="4" s="1"/>
  <c r="C2" i="3"/>
  <c r="D2" i="3"/>
  <c r="E2" i="3"/>
  <c r="F2" i="3"/>
  <c r="B2" i="3"/>
  <c r="C3" i="2"/>
  <c r="D3" i="2"/>
  <c r="E3" i="2"/>
  <c r="F3" i="2"/>
  <c r="B3" i="2"/>
  <c r="C4" i="2" l="1"/>
  <c r="C3" i="3"/>
  <c r="B4" i="2"/>
  <c r="B3" i="3"/>
  <c r="F4" i="2"/>
  <c r="F3" i="3"/>
  <c r="E4" i="2"/>
  <c r="E3" i="3"/>
  <c r="D4" i="2"/>
  <c r="D3" i="3"/>
  <c r="G3" i="3" l="1"/>
  <c r="H3" i="3" s="1"/>
  <c r="B5" i="2"/>
  <c r="B4" i="3"/>
  <c r="E5" i="2"/>
  <c r="E4" i="3"/>
  <c r="F5" i="2"/>
  <c r="F4" i="3"/>
  <c r="D5" i="2"/>
  <c r="D4" i="3"/>
  <c r="C5" i="2"/>
  <c r="C4" i="3"/>
  <c r="G4" i="3" l="1"/>
  <c r="H4" i="3" s="1"/>
  <c r="B4" i="4" s="1"/>
  <c r="B3" i="4"/>
  <c r="F6" i="2"/>
  <c r="F5" i="3"/>
  <c r="E6" i="2"/>
  <c r="E5" i="3"/>
  <c r="D6" i="2"/>
  <c r="D5" i="3"/>
  <c r="C6" i="2"/>
  <c r="C5" i="3"/>
  <c r="B6" i="2"/>
  <c r="B5" i="3"/>
  <c r="C3" i="4" l="1"/>
  <c r="D3" i="4"/>
  <c r="C4" i="4"/>
  <c r="D4" i="4"/>
  <c r="G5" i="3"/>
  <c r="H5" i="3" s="1"/>
  <c r="B5" i="4" s="1"/>
  <c r="C7" i="2"/>
  <c r="C7" i="3" s="1"/>
  <c r="C6" i="3"/>
  <c r="E7" i="2"/>
  <c r="E6" i="3"/>
  <c r="D7" i="2"/>
  <c r="D6" i="3"/>
  <c r="B7" i="2"/>
  <c r="B6" i="3"/>
  <c r="F7" i="2"/>
  <c r="F6" i="3"/>
  <c r="C5" i="4" l="1"/>
  <c r="D5" i="4"/>
  <c r="G6" i="3"/>
  <c r="H6" i="3" s="1"/>
  <c r="B6" i="4" s="1"/>
  <c r="D8" i="2"/>
  <c r="D7" i="3"/>
  <c r="B8" i="2"/>
  <c r="B7" i="3"/>
  <c r="E8" i="2"/>
  <c r="E7" i="3"/>
  <c r="F8" i="2"/>
  <c r="F7" i="3"/>
  <c r="C8" i="2"/>
  <c r="C6" i="4" l="1"/>
  <c r="D6" i="4"/>
  <c r="G7" i="3"/>
  <c r="H7" i="3" s="1"/>
  <c r="B7" i="4" s="1"/>
  <c r="C9" i="2"/>
  <c r="C8" i="3"/>
  <c r="F9" i="2"/>
  <c r="F8" i="3"/>
  <c r="E9" i="2"/>
  <c r="E8" i="3"/>
  <c r="B9" i="2"/>
  <c r="B8" i="3"/>
  <c r="D9" i="2"/>
  <c r="D8" i="3"/>
  <c r="C7" i="4" l="1"/>
  <c r="D7" i="4"/>
  <c r="G8" i="3"/>
  <c r="H8" i="3" s="1"/>
  <c r="B8" i="4" s="1"/>
  <c r="E10" i="2"/>
  <c r="E9" i="3"/>
  <c r="B10" i="2"/>
  <c r="B9" i="3"/>
  <c r="F10" i="2"/>
  <c r="F9" i="3"/>
  <c r="D10" i="2"/>
  <c r="D9" i="3"/>
  <c r="C10" i="2"/>
  <c r="C9" i="3"/>
  <c r="C8" i="4" l="1"/>
  <c r="D8" i="4"/>
  <c r="G9" i="3"/>
  <c r="H9" i="3" s="1"/>
  <c r="B9" i="4" s="1"/>
  <c r="D11" i="2"/>
  <c r="D10" i="3"/>
  <c r="B11" i="2"/>
  <c r="B10" i="3"/>
  <c r="F11" i="2"/>
  <c r="F10" i="3"/>
  <c r="C11" i="2"/>
  <c r="C10" i="3"/>
  <c r="E11" i="2"/>
  <c r="E10" i="3"/>
  <c r="C9" i="4" l="1"/>
  <c r="D9" i="4"/>
  <c r="G10" i="3"/>
  <c r="H10" i="3" s="1"/>
  <c r="B10" i="4" s="1"/>
  <c r="F12" i="2"/>
  <c r="F11" i="3"/>
  <c r="B12" i="2"/>
  <c r="B11" i="3"/>
  <c r="C12" i="2"/>
  <c r="C11" i="3"/>
  <c r="E12" i="2"/>
  <c r="E11" i="3"/>
  <c r="D12" i="2"/>
  <c r="D11" i="3"/>
  <c r="C10" i="4" l="1"/>
  <c r="D10" i="4"/>
  <c r="G11" i="3"/>
  <c r="H11" i="3" s="1"/>
  <c r="B11" i="4" s="1"/>
  <c r="B13" i="2"/>
  <c r="B12" i="3"/>
  <c r="C13" i="2"/>
  <c r="C12" i="3"/>
  <c r="E13" i="2"/>
  <c r="E12" i="3"/>
  <c r="D13" i="2"/>
  <c r="D12" i="3"/>
  <c r="F13" i="2"/>
  <c r="F12" i="3"/>
  <c r="C11" i="4" l="1"/>
  <c r="D11" i="4"/>
  <c r="G12" i="3"/>
  <c r="H12" i="3" s="1"/>
  <c r="B12" i="4" s="1"/>
  <c r="C14" i="2"/>
  <c r="C13" i="3"/>
  <c r="D14" i="2"/>
  <c r="D13" i="3"/>
  <c r="E14" i="2"/>
  <c r="E13" i="3"/>
  <c r="F14" i="2"/>
  <c r="F13" i="3"/>
  <c r="B14" i="2"/>
  <c r="B13" i="3"/>
  <c r="C12" i="4" l="1"/>
  <c r="D12" i="4"/>
  <c r="G13" i="3"/>
  <c r="H13" i="3" s="1"/>
  <c r="B13" i="4" s="1"/>
  <c r="F15" i="2"/>
  <c r="F14" i="3"/>
  <c r="E15" i="2"/>
  <c r="E14" i="3"/>
  <c r="D15" i="2"/>
  <c r="D14" i="3"/>
  <c r="B15" i="2"/>
  <c r="B14" i="3"/>
  <c r="C15" i="2"/>
  <c r="C14" i="3"/>
  <c r="C13" i="4" l="1"/>
  <c r="D13" i="4"/>
  <c r="G14" i="3"/>
  <c r="H14" i="3" s="1"/>
  <c r="B14" i="4" s="1"/>
  <c r="E16" i="2"/>
  <c r="E15" i="3"/>
  <c r="B16" i="2"/>
  <c r="B15" i="3"/>
  <c r="D16" i="2"/>
  <c r="D15" i="3"/>
  <c r="C16" i="2"/>
  <c r="C15" i="3"/>
  <c r="F16" i="2"/>
  <c r="F15" i="3"/>
  <c r="C14" i="4" l="1"/>
  <c r="D14" i="4"/>
  <c r="G15" i="3"/>
  <c r="H15" i="3" s="1"/>
  <c r="B15" i="4" s="1"/>
  <c r="B17" i="2"/>
  <c r="B16" i="3"/>
  <c r="C17" i="2"/>
  <c r="C16" i="3"/>
  <c r="D17" i="2"/>
  <c r="D16" i="3"/>
  <c r="F17" i="2"/>
  <c r="F16" i="3"/>
  <c r="E17" i="2"/>
  <c r="E16" i="3"/>
  <c r="C15" i="4" l="1"/>
  <c r="D15" i="4"/>
  <c r="G16" i="3"/>
  <c r="H16" i="3" s="1"/>
  <c r="B16" i="4" s="1"/>
  <c r="D18" i="2"/>
  <c r="D17" i="3"/>
  <c r="C18" i="2"/>
  <c r="C17" i="3"/>
  <c r="F18" i="2"/>
  <c r="F17" i="3"/>
  <c r="E18" i="2"/>
  <c r="E17" i="3"/>
  <c r="B18" i="2"/>
  <c r="B17" i="3"/>
  <c r="C16" i="4" l="1"/>
  <c r="D16" i="4"/>
  <c r="G17" i="3"/>
  <c r="H17" i="3" s="1"/>
  <c r="B17" i="4" s="1"/>
  <c r="F19" i="2"/>
  <c r="F18" i="3"/>
  <c r="C19" i="2"/>
  <c r="C18" i="3"/>
  <c r="E19" i="2"/>
  <c r="E18" i="3"/>
  <c r="B19" i="2"/>
  <c r="B18" i="3"/>
  <c r="D19" i="2"/>
  <c r="D18" i="3"/>
  <c r="C17" i="4" l="1"/>
  <c r="D17" i="4"/>
  <c r="G18" i="3"/>
  <c r="H18" i="3" s="1"/>
  <c r="B18" i="4" s="1"/>
  <c r="B20" i="2"/>
  <c r="B19" i="3"/>
  <c r="C20" i="2"/>
  <c r="C19" i="3"/>
  <c r="E20" i="2"/>
  <c r="E19" i="3"/>
  <c r="D20" i="2"/>
  <c r="D19" i="3"/>
  <c r="F20" i="2"/>
  <c r="F19" i="3"/>
  <c r="C18" i="4" l="1"/>
  <c r="D18" i="4"/>
  <c r="G19" i="3"/>
  <c r="H19" i="3" s="1"/>
  <c r="B19" i="4" s="1"/>
  <c r="D21" i="2"/>
  <c r="D20" i="3"/>
  <c r="C21" i="2"/>
  <c r="C20" i="3"/>
  <c r="E21" i="2"/>
  <c r="E20" i="3"/>
  <c r="F21" i="2"/>
  <c r="F20" i="3"/>
  <c r="B21" i="2"/>
  <c r="B20" i="3"/>
  <c r="C19" i="4" l="1"/>
  <c r="D19" i="4"/>
  <c r="G20" i="3"/>
  <c r="H20" i="3" s="1"/>
  <c r="B20" i="4" s="1"/>
  <c r="F22" i="2"/>
  <c r="F21" i="3"/>
  <c r="C22" i="2"/>
  <c r="C21" i="3"/>
  <c r="E22" i="2"/>
  <c r="E21" i="3"/>
  <c r="B22" i="2"/>
  <c r="B21" i="3"/>
  <c r="D22" i="2"/>
  <c r="D21" i="3"/>
  <c r="C20" i="4" l="1"/>
  <c r="D20" i="4"/>
  <c r="G21" i="3"/>
  <c r="H21" i="3" s="1"/>
  <c r="B21" i="4" s="1"/>
  <c r="B23" i="2"/>
  <c r="B22" i="3"/>
  <c r="C23" i="2"/>
  <c r="C22" i="3"/>
  <c r="E23" i="2"/>
  <c r="E22" i="3"/>
  <c r="D23" i="2"/>
  <c r="D22" i="3"/>
  <c r="F23" i="2"/>
  <c r="F22" i="3"/>
  <c r="C21" i="4" l="1"/>
  <c r="D21" i="4"/>
  <c r="G22" i="3"/>
  <c r="H22" i="3" s="1"/>
  <c r="B22" i="4" s="1"/>
  <c r="D24" i="2"/>
  <c r="D23" i="3"/>
  <c r="C24" i="2"/>
  <c r="C23" i="3"/>
  <c r="E24" i="2"/>
  <c r="E23" i="3"/>
  <c r="F24" i="2"/>
  <c r="F23" i="3"/>
  <c r="B24" i="2"/>
  <c r="B23" i="3"/>
  <c r="C22" i="4" l="1"/>
  <c r="D22" i="4"/>
  <c r="G23" i="3"/>
  <c r="H23" i="3" s="1"/>
  <c r="B23" i="4" s="1"/>
  <c r="C25" i="2"/>
  <c r="C24" i="3"/>
  <c r="F25" i="2"/>
  <c r="F24" i="3"/>
  <c r="E25" i="2"/>
  <c r="E24" i="3"/>
  <c r="B25" i="2"/>
  <c r="B24" i="3"/>
  <c r="D25" i="2"/>
  <c r="D24" i="3"/>
  <c r="C23" i="4" l="1"/>
  <c r="D23" i="4"/>
  <c r="G24" i="3"/>
  <c r="H24" i="3" s="1"/>
  <c r="B24" i="4" s="1"/>
  <c r="D26" i="2"/>
  <c r="D25" i="3"/>
  <c r="B26" i="2"/>
  <c r="B25" i="3"/>
  <c r="E26" i="2"/>
  <c r="E25" i="3"/>
  <c r="F26" i="2"/>
  <c r="F25" i="3"/>
  <c r="C26" i="2"/>
  <c r="C25" i="3"/>
  <c r="C24" i="4" l="1"/>
  <c r="D24" i="4"/>
  <c r="G25" i="3"/>
  <c r="H25" i="3" s="1"/>
  <c r="B25" i="4" s="1"/>
  <c r="F27" i="2"/>
  <c r="F26" i="3"/>
  <c r="E27" i="2"/>
  <c r="E26" i="3"/>
  <c r="B27" i="2"/>
  <c r="B26" i="3"/>
  <c r="C27" i="2"/>
  <c r="C26" i="3"/>
  <c r="D27" i="2"/>
  <c r="D26" i="3"/>
  <c r="C25" i="4" l="1"/>
  <c r="D25" i="4"/>
  <c r="G26" i="3"/>
  <c r="H26" i="3" s="1"/>
  <c r="B26" i="4" s="1"/>
  <c r="C28" i="2"/>
  <c r="C27" i="3"/>
  <c r="B28" i="2"/>
  <c r="B27" i="3"/>
  <c r="E28" i="2"/>
  <c r="E27" i="3"/>
  <c r="D28" i="2"/>
  <c r="D27" i="3"/>
  <c r="F28" i="2"/>
  <c r="F27" i="3"/>
  <c r="C26" i="4" l="1"/>
  <c r="D26" i="4"/>
  <c r="G27" i="3"/>
  <c r="H27" i="3" s="1"/>
  <c r="B27" i="4" s="1"/>
  <c r="E29" i="2"/>
  <c r="E28" i="3"/>
  <c r="D29" i="2"/>
  <c r="D28" i="3"/>
  <c r="B29" i="2"/>
  <c r="B28" i="3"/>
  <c r="F29" i="2"/>
  <c r="F28" i="3"/>
  <c r="C29" i="2"/>
  <c r="C28" i="3"/>
  <c r="C27" i="4" l="1"/>
  <c r="D27" i="4"/>
  <c r="G28" i="3"/>
  <c r="H28" i="3" s="1"/>
  <c r="B28" i="4" s="1"/>
  <c r="F30" i="2"/>
  <c r="F29" i="3"/>
  <c r="B30" i="2"/>
  <c r="B29" i="3"/>
  <c r="D30" i="2"/>
  <c r="D29" i="3"/>
  <c r="C30" i="2"/>
  <c r="C29" i="3"/>
  <c r="E30" i="2"/>
  <c r="E29" i="3"/>
  <c r="C28" i="4" l="1"/>
  <c r="D28" i="4"/>
  <c r="G29" i="3"/>
  <c r="H29" i="3" s="1"/>
  <c r="B29" i="4" s="1"/>
  <c r="C31" i="2"/>
  <c r="C30" i="3"/>
  <c r="D31" i="2"/>
  <c r="D30" i="3"/>
  <c r="B31" i="2"/>
  <c r="B30" i="3"/>
  <c r="E31" i="2"/>
  <c r="E30" i="3"/>
  <c r="F31" i="2"/>
  <c r="F30" i="3"/>
  <c r="C29" i="4" l="1"/>
  <c r="D29" i="4"/>
  <c r="G30" i="3"/>
  <c r="H30" i="3" s="1"/>
  <c r="B30" i="4" s="1"/>
  <c r="D32" i="2"/>
  <c r="D31" i="3"/>
  <c r="E32" i="2"/>
  <c r="E31" i="3"/>
  <c r="B32" i="2"/>
  <c r="B31" i="3"/>
  <c r="F32" i="2"/>
  <c r="F31" i="3"/>
  <c r="C32" i="2"/>
  <c r="C31" i="3"/>
  <c r="C30" i="4" l="1"/>
  <c r="D30" i="4"/>
  <c r="G31" i="3"/>
  <c r="H31" i="3" s="1"/>
  <c r="B31" i="4" s="1"/>
  <c r="E33" i="2"/>
  <c r="E32" i="3"/>
  <c r="F33" i="2"/>
  <c r="F32" i="3"/>
  <c r="B33" i="2"/>
  <c r="B32" i="3"/>
  <c r="C33" i="2"/>
  <c r="C32" i="3"/>
  <c r="D33" i="2"/>
  <c r="D32" i="3"/>
  <c r="C31" i="4" l="1"/>
  <c r="D31" i="4"/>
  <c r="G32" i="3"/>
  <c r="H32" i="3" s="1"/>
  <c r="B32" i="4" s="1"/>
  <c r="B34" i="2"/>
  <c r="B33" i="3"/>
  <c r="C34" i="2"/>
  <c r="C33" i="3"/>
  <c r="F34" i="2"/>
  <c r="F33" i="3"/>
  <c r="D34" i="2"/>
  <c r="D33" i="3"/>
  <c r="E34" i="2"/>
  <c r="E33" i="3"/>
  <c r="C32" i="4" l="1"/>
  <c r="D32" i="4"/>
  <c r="G33" i="3"/>
  <c r="H33" i="3" s="1"/>
  <c r="B33" i="4" s="1"/>
  <c r="F35" i="2"/>
  <c r="F34" i="3"/>
  <c r="C35" i="2"/>
  <c r="C34" i="3"/>
  <c r="D35" i="2"/>
  <c r="D34" i="3"/>
  <c r="E35" i="2"/>
  <c r="E34" i="3"/>
  <c r="B35" i="2"/>
  <c r="B34" i="3"/>
  <c r="C33" i="4" l="1"/>
  <c r="D33" i="4"/>
  <c r="G34" i="3"/>
  <c r="H34" i="3" s="1"/>
  <c r="B34" i="4" s="1"/>
  <c r="D36" i="2"/>
  <c r="D35" i="3"/>
  <c r="C36" i="2"/>
  <c r="C35" i="3"/>
  <c r="E36" i="2"/>
  <c r="E35" i="3"/>
  <c r="B36" i="2"/>
  <c r="B35" i="3"/>
  <c r="F36" i="2"/>
  <c r="F35" i="3"/>
  <c r="C34" i="4" l="1"/>
  <c r="D34" i="4"/>
  <c r="G35" i="3"/>
  <c r="H35" i="3" s="1"/>
  <c r="B35" i="4" s="1"/>
  <c r="B37" i="2"/>
  <c r="B36" i="3"/>
  <c r="E37" i="2"/>
  <c r="E36" i="3"/>
  <c r="C37" i="2"/>
  <c r="C36" i="3"/>
  <c r="F37" i="2"/>
  <c r="F36" i="3"/>
  <c r="D37" i="2"/>
  <c r="D36" i="3"/>
  <c r="C35" i="4" l="1"/>
  <c r="D35" i="4"/>
  <c r="G36" i="3"/>
  <c r="H36" i="3" s="1"/>
  <c r="B36" i="4" s="1"/>
  <c r="D38" i="2"/>
  <c r="D37" i="3"/>
  <c r="B38" i="2"/>
  <c r="B37" i="3"/>
  <c r="F38" i="2"/>
  <c r="F37" i="3"/>
  <c r="C38" i="2"/>
  <c r="C37" i="3"/>
  <c r="E38" i="2"/>
  <c r="E37" i="3"/>
  <c r="C36" i="4" l="1"/>
  <c r="D36" i="4"/>
  <c r="G37" i="3"/>
  <c r="H37" i="3" s="1"/>
  <c r="B37" i="4" s="1"/>
  <c r="D39" i="2"/>
  <c r="D38" i="3"/>
  <c r="C39" i="2"/>
  <c r="C38" i="3"/>
  <c r="F39" i="2"/>
  <c r="F38" i="3"/>
  <c r="E39" i="2"/>
  <c r="E38" i="3"/>
  <c r="B39" i="2"/>
  <c r="B38" i="3"/>
  <c r="C37" i="4" l="1"/>
  <c r="D37" i="4"/>
  <c r="G38" i="3"/>
  <c r="H38" i="3" s="1"/>
  <c r="B38" i="4" s="1"/>
  <c r="E40" i="2"/>
  <c r="E39" i="3"/>
  <c r="C40" i="2"/>
  <c r="C39" i="3"/>
  <c r="F40" i="2"/>
  <c r="F39" i="3"/>
  <c r="B40" i="2"/>
  <c r="B39" i="3"/>
  <c r="D40" i="2"/>
  <c r="D39" i="3"/>
  <c r="C38" i="4" l="1"/>
  <c r="D38" i="4"/>
  <c r="G39" i="3"/>
  <c r="H39" i="3" s="1"/>
  <c r="B39" i="4" s="1"/>
  <c r="D41" i="2"/>
  <c r="D40" i="3"/>
  <c r="B41" i="2"/>
  <c r="B40" i="3"/>
  <c r="C41" i="2"/>
  <c r="C40" i="3"/>
  <c r="F41" i="2"/>
  <c r="F40" i="3"/>
  <c r="E41" i="2"/>
  <c r="E40" i="3"/>
  <c r="C39" i="4" l="1"/>
  <c r="D39" i="4"/>
  <c r="G40" i="3"/>
  <c r="H40" i="3" s="1"/>
  <c r="B40" i="4" s="1"/>
  <c r="E42" i="2"/>
  <c r="E41" i="3"/>
  <c r="D42" i="2"/>
  <c r="D41" i="3"/>
  <c r="F42" i="2"/>
  <c r="F41" i="3"/>
  <c r="C42" i="2"/>
  <c r="C41" i="3"/>
  <c r="B42" i="2"/>
  <c r="B41" i="3"/>
  <c r="C40" i="4" l="1"/>
  <c r="D40" i="4"/>
  <c r="G41" i="3"/>
  <c r="H41" i="3" s="1"/>
  <c r="B41" i="4" s="1"/>
  <c r="F43" i="2"/>
  <c r="F42" i="3"/>
  <c r="C43" i="2"/>
  <c r="C42" i="3"/>
  <c r="D43" i="2"/>
  <c r="D42" i="3"/>
  <c r="B43" i="2"/>
  <c r="B42" i="3"/>
  <c r="E43" i="2"/>
  <c r="E42" i="3"/>
  <c r="C41" i="4" l="1"/>
  <c r="D41" i="4"/>
  <c r="G42" i="3"/>
  <c r="H42" i="3" s="1"/>
  <c r="B42" i="4" s="1"/>
  <c r="B44" i="2"/>
  <c r="B43" i="3"/>
  <c r="D44" i="2"/>
  <c r="D43" i="3"/>
  <c r="C44" i="2"/>
  <c r="C43" i="3"/>
  <c r="E44" i="2"/>
  <c r="E43" i="3"/>
  <c r="F44" i="2"/>
  <c r="F43" i="3"/>
  <c r="C42" i="4" l="1"/>
  <c r="D42" i="4"/>
  <c r="G43" i="3"/>
  <c r="H43" i="3" s="1"/>
  <c r="B43" i="4" s="1"/>
  <c r="D45" i="2"/>
  <c r="D44" i="3"/>
  <c r="E45" i="2"/>
  <c r="E44" i="3"/>
  <c r="C45" i="2"/>
  <c r="C44" i="3"/>
  <c r="F45" i="2"/>
  <c r="F44" i="3"/>
  <c r="B45" i="2"/>
  <c r="B44" i="3"/>
  <c r="C43" i="4" l="1"/>
  <c r="D43" i="4"/>
  <c r="G44" i="3"/>
  <c r="H44" i="3" s="1"/>
  <c r="B44" i="4" s="1"/>
  <c r="E46" i="2"/>
  <c r="E45" i="3"/>
  <c r="C46" i="2"/>
  <c r="C45" i="3"/>
  <c r="F46" i="2"/>
  <c r="F45" i="3"/>
  <c r="B46" i="2"/>
  <c r="B45" i="3"/>
  <c r="D46" i="2"/>
  <c r="D45" i="3"/>
  <c r="C44" i="4" l="1"/>
  <c r="D44" i="4"/>
  <c r="G45" i="3"/>
  <c r="H45" i="3" s="1"/>
  <c r="B45" i="4" s="1"/>
  <c r="E47" i="2"/>
  <c r="E46" i="3"/>
  <c r="B47" i="2"/>
  <c r="B46" i="3"/>
  <c r="F47" i="2"/>
  <c r="F46" i="3"/>
  <c r="C47" i="2"/>
  <c r="C46" i="3"/>
  <c r="D47" i="2"/>
  <c r="D46" i="3"/>
  <c r="C45" i="4" l="1"/>
  <c r="D45" i="4"/>
  <c r="G46" i="3"/>
  <c r="H46" i="3" s="1"/>
  <c r="B46" i="4" s="1"/>
  <c r="C48" i="2"/>
  <c r="C47" i="3"/>
  <c r="F48" i="2"/>
  <c r="F47" i="3"/>
  <c r="B48" i="2"/>
  <c r="B47" i="3"/>
  <c r="D48" i="2"/>
  <c r="D47" i="3"/>
  <c r="E48" i="2"/>
  <c r="E47" i="3"/>
  <c r="C46" i="4" l="1"/>
  <c r="D46" i="4"/>
  <c r="G47" i="3"/>
  <c r="H47" i="3" s="1"/>
  <c r="B47" i="4" s="1"/>
  <c r="C49" i="2"/>
  <c r="C48" i="3"/>
  <c r="D49" i="2"/>
  <c r="D48" i="3"/>
  <c r="F49" i="2"/>
  <c r="F48" i="3"/>
  <c r="E49" i="2"/>
  <c r="E48" i="3"/>
  <c r="B49" i="2"/>
  <c r="B48" i="3"/>
  <c r="C47" i="4" l="1"/>
  <c r="D47" i="4"/>
  <c r="G48" i="3"/>
  <c r="H48" i="3" s="1"/>
  <c r="B48" i="4" s="1"/>
  <c r="B50" i="2"/>
  <c r="B49" i="3"/>
  <c r="E50" i="2"/>
  <c r="E49" i="3"/>
  <c r="D50" i="2"/>
  <c r="D49" i="3"/>
  <c r="C50" i="2"/>
  <c r="C49" i="3"/>
  <c r="F50" i="2"/>
  <c r="F49" i="3"/>
  <c r="C48" i="4" l="1"/>
  <c r="D48" i="4"/>
  <c r="G49" i="3"/>
  <c r="H49" i="3" s="1"/>
  <c r="B49" i="4" s="1"/>
  <c r="C51" i="2"/>
  <c r="C50" i="3"/>
  <c r="D51" i="2"/>
  <c r="D50" i="3"/>
  <c r="E51" i="2"/>
  <c r="E50" i="3"/>
  <c r="F51" i="2"/>
  <c r="F50" i="3"/>
  <c r="B51" i="2"/>
  <c r="B50" i="3"/>
  <c r="C49" i="4" l="1"/>
  <c r="D49" i="4"/>
  <c r="G50" i="3"/>
  <c r="H50" i="3" s="1"/>
  <c r="B50" i="4" s="1"/>
  <c r="F52" i="2"/>
  <c r="F51" i="3"/>
  <c r="B52" i="2"/>
  <c r="B51" i="3"/>
  <c r="D52" i="2"/>
  <c r="D51" i="3"/>
  <c r="C52" i="2"/>
  <c r="C51" i="3"/>
  <c r="E52" i="2"/>
  <c r="E51" i="3"/>
  <c r="C50" i="4" l="1"/>
  <c r="D50" i="4"/>
  <c r="G51" i="3"/>
  <c r="H51" i="3" s="1"/>
  <c r="B51" i="4" s="1"/>
  <c r="F53" i="2"/>
  <c r="F52" i="3"/>
  <c r="C53" i="2"/>
  <c r="C52" i="3"/>
  <c r="D53" i="2"/>
  <c r="D52" i="3"/>
  <c r="B53" i="2"/>
  <c r="B52" i="3"/>
  <c r="E53" i="2"/>
  <c r="E52" i="3"/>
  <c r="C51" i="4" l="1"/>
  <c r="D51" i="4"/>
  <c r="G52" i="3"/>
  <c r="H52" i="3" s="1"/>
  <c r="B52" i="4" s="1"/>
  <c r="B54" i="2"/>
  <c r="B53" i="3"/>
  <c r="D54" i="2"/>
  <c r="D53" i="3"/>
  <c r="E54" i="2"/>
  <c r="E53" i="3"/>
  <c r="C54" i="2"/>
  <c r="C53" i="3"/>
  <c r="F54" i="2"/>
  <c r="F53" i="3"/>
  <c r="C52" i="4" l="1"/>
  <c r="D52" i="4"/>
  <c r="G53" i="3"/>
  <c r="H53" i="3" s="1"/>
  <c r="B53" i="4" s="1"/>
  <c r="E55" i="2"/>
  <c r="E54" i="3"/>
  <c r="C55" i="2"/>
  <c r="C54" i="3"/>
  <c r="D55" i="2"/>
  <c r="D54" i="3"/>
  <c r="F55" i="2"/>
  <c r="F54" i="3"/>
  <c r="B55" i="2"/>
  <c r="B54" i="3"/>
  <c r="C53" i="4" l="1"/>
  <c r="D53" i="4"/>
  <c r="G54" i="3"/>
  <c r="H54" i="3" s="1"/>
  <c r="B54" i="4" s="1"/>
  <c r="D56" i="2"/>
  <c r="D55" i="3"/>
  <c r="C56" i="2"/>
  <c r="C55" i="3"/>
  <c r="F56" i="2"/>
  <c r="F55" i="3"/>
  <c r="B56" i="2"/>
  <c r="B55" i="3"/>
  <c r="E56" i="2"/>
  <c r="E55" i="3"/>
  <c r="C54" i="4" l="1"/>
  <c r="D54" i="4"/>
  <c r="G55" i="3"/>
  <c r="H55" i="3" s="1"/>
  <c r="B55" i="4" s="1"/>
  <c r="C57" i="2"/>
  <c r="C56" i="3"/>
  <c r="B57" i="2"/>
  <c r="B56" i="3"/>
  <c r="F57" i="2"/>
  <c r="F56" i="3"/>
  <c r="E57" i="2"/>
  <c r="E56" i="3"/>
  <c r="D57" i="2"/>
  <c r="D56" i="3"/>
  <c r="C55" i="4" l="1"/>
  <c r="D55" i="4"/>
  <c r="G56" i="3"/>
  <c r="H56" i="3" s="1"/>
  <c r="B56" i="4" s="1"/>
  <c r="E58" i="2"/>
  <c r="E57" i="3"/>
  <c r="B58" i="2"/>
  <c r="B57" i="3"/>
  <c r="F58" i="2"/>
  <c r="F57" i="3"/>
  <c r="D58" i="2"/>
  <c r="D57" i="3"/>
  <c r="C58" i="2"/>
  <c r="C57" i="3"/>
  <c r="C56" i="4" l="1"/>
  <c r="D56" i="4"/>
  <c r="G57" i="3"/>
  <c r="H57" i="3" s="1"/>
  <c r="B57" i="4" s="1"/>
  <c r="E59" i="2"/>
  <c r="E58" i="3"/>
  <c r="D59" i="2"/>
  <c r="D58" i="3"/>
  <c r="C59" i="2"/>
  <c r="C58" i="3"/>
  <c r="F59" i="2"/>
  <c r="F58" i="3"/>
  <c r="B59" i="2"/>
  <c r="B58" i="3"/>
  <c r="C57" i="4" l="1"/>
  <c r="D57" i="4"/>
  <c r="G58" i="3"/>
  <c r="H58" i="3" s="1"/>
  <c r="B58" i="4" s="1"/>
  <c r="B60" i="2"/>
  <c r="B59" i="3"/>
  <c r="F60" i="2"/>
  <c r="F59" i="3"/>
  <c r="E60" i="2"/>
  <c r="E59" i="3"/>
  <c r="C60" i="2"/>
  <c r="C59" i="3"/>
  <c r="D60" i="2"/>
  <c r="D59" i="3"/>
  <c r="C58" i="4" l="1"/>
  <c r="D58" i="4"/>
  <c r="G59" i="3"/>
  <c r="H59" i="3" s="1"/>
  <c r="B59" i="4" s="1"/>
  <c r="B61" i="2"/>
  <c r="B60" i="3"/>
  <c r="D61" i="2"/>
  <c r="D60" i="3"/>
  <c r="C61" i="2"/>
  <c r="C60" i="3"/>
  <c r="E61" i="2"/>
  <c r="E60" i="3"/>
  <c r="F61" i="2"/>
  <c r="F60" i="3"/>
  <c r="C59" i="4" l="1"/>
  <c r="D59" i="4"/>
  <c r="G60" i="3"/>
  <c r="H60" i="3" s="1"/>
  <c r="B60" i="4" s="1"/>
  <c r="E62" i="2"/>
  <c r="E61" i="3"/>
  <c r="C62" i="2"/>
  <c r="C61" i="3"/>
  <c r="D62" i="2"/>
  <c r="D61" i="3"/>
  <c r="F62" i="2"/>
  <c r="F61" i="3"/>
  <c r="B62" i="2"/>
  <c r="B61" i="3"/>
  <c r="C60" i="4" l="1"/>
  <c r="D60" i="4"/>
  <c r="G61" i="3"/>
  <c r="H61" i="3" s="1"/>
  <c r="B61" i="4" s="1"/>
  <c r="F63" i="2"/>
  <c r="F62" i="3"/>
  <c r="B63" i="2"/>
  <c r="B62" i="3"/>
  <c r="D63" i="2"/>
  <c r="D62" i="3"/>
  <c r="C63" i="2"/>
  <c r="C62" i="3"/>
  <c r="E63" i="2"/>
  <c r="E62" i="3"/>
  <c r="C61" i="4" l="1"/>
  <c r="D61" i="4"/>
  <c r="G62" i="3"/>
  <c r="H62" i="3" s="1"/>
  <c r="B62" i="4" s="1"/>
  <c r="C64" i="2"/>
  <c r="C63" i="3"/>
  <c r="E64" i="2"/>
  <c r="E63" i="3"/>
  <c r="F64" i="2"/>
  <c r="F63" i="3"/>
  <c r="D64" i="2"/>
  <c r="D63" i="3"/>
  <c r="B64" i="2"/>
  <c r="B63" i="3"/>
  <c r="C62" i="4" l="1"/>
  <c r="D62" i="4"/>
  <c r="G63" i="3"/>
  <c r="H63" i="3" s="1"/>
  <c r="B63" i="4" s="1"/>
  <c r="D65" i="2"/>
  <c r="D64" i="3"/>
  <c r="B65" i="2"/>
  <c r="B64" i="3"/>
  <c r="C65" i="2"/>
  <c r="C64" i="3"/>
  <c r="F65" i="2"/>
  <c r="F64" i="3"/>
  <c r="E65" i="2"/>
  <c r="E64" i="3"/>
  <c r="C63" i="4" l="1"/>
  <c r="D63" i="4"/>
  <c r="G64" i="3"/>
  <c r="H64" i="3" s="1"/>
  <c r="B64" i="4" s="1"/>
  <c r="F66" i="2"/>
  <c r="F65" i="3"/>
  <c r="C66" i="2"/>
  <c r="C65" i="3"/>
  <c r="E66" i="2"/>
  <c r="E65" i="3"/>
  <c r="D66" i="2"/>
  <c r="D65" i="3"/>
  <c r="B66" i="2"/>
  <c r="B65" i="3"/>
  <c r="C64" i="4" l="1"/>
  <c r="D64" i="4"/>
  <c r="G65" i="3"/>
  <c r="H65" i="3" s="1"/>
  <c r="B65" i="4" s="1"/>
  <c r="D67" i="2"/>
  <c r="D66" i="3"/>
  <c r="B67" i="2"/>
  <c r="B66" i="3"/>
  <c r="F67" i="2"/>
  <c r="F66" i="3"/>
  <c r="E67" i="2"/>
  <c r="E66" i="3"/>
  <c r="C67" i="2"/>
  <c r="C66" i="3"/>
  <c r="D65" i="4" l="1"/>
  <c r="G66" i="3"/>
  <c r="H66" i="3" s="1"/>
  <c r="B66" i="4" s="1"/>
  <c r="D68" i="2"/>
  <c r="D67" i="3"/>
  <c r="F68" i="2"/>
  <c r="F67" i="3"/>
  <c r="C68" i="2"/>
  <c r="C67" i="3"/>
  <c r="E68" i="2"/>
  <c r="E67" i="3"/>
  <c r="B68" i="2"/>
  <c r="B67" i="3"/>
  <c r="D66" i="4" l="1"/>
  <c r="G67" i="3"/>
  <c r="H67" i="3" s="1"/>
  <c r="B67" i="4" s="1"/>
  <c r="D69" i="2"/>
  <c r="D68" i="3"/>
  <c r="B69" i="2"/>
  <c r="B68" i="3"/>
  <c r="E69" i="2"/>
  <c r="E68" i="3"/>
  <c r="C69" i="2"/>
  <c r="C68" i="3"/>
  <c r="F69" i="2"/>
  <c r="F68" i="3"/>
  <c r="D67" i="4" l="1"/>
  <c r="G68" i="3"/>
  <c r="H68" i="3" s="1"/>
  <c r="B68" i="4" s="1"/>
  <c r="F70" i="2"/>
  <c r="F69" i="3"/>
  <c r="D70" i="2"/>
  <c r="D69" i="3"/>
  <c r="E70" i="2"/>
  <c r="E69" i="3"/>
  <c r="C70" i="2"/>
  <c r="C69" i="3"/>
  <c r="B70" i="2"/>
  <c r="B69" i="3"/>
  <c r="D68" i="4" l="1"/>
  <c r="G69" i="3"/>
  <c r="H69" i="3" s="1"/>
  <c r="B69" i="4" s="1"/>
  <c r="E71" i="2"/>
  <c r="E70" i="3"/>
  <c r="C71" i="2"/>
  <c r="C70" i="3"/>
  <c r="B71" i="2"/>
  <c r="B70" i="3"/>
  <c r="D71" i="2"/>
  <c r="D70" i="3"/>
  <c r="F71" i="2"/>
  <c r="F70" i="3"/>
  <c r="D69" i="4" l="1"/>
  <c r="G70" i="3"/>
  <c r="H70" i="3" s="1"/>
  <c r="B70" i="4" s="1"/>
  <c r="E72" i="2"/>
  <c r="E71" i="3"/>
  <c r="F72" i="2"/>
  <c r="F71" i="3"/>
  <c r="B72" i="2"/>
  <c r="B71" i="3"/>
  <c r="D72" i="2"/>
  <c r="D71" i="3"/>
  <c r="C72" i="2"/>
  <c r="C71" i="3"/>
  <c r="D70" i="4" l="1"/>
  <c r="G71" i="3"/>
  <c r="H71" i="3" s="1"/>
  <c r="B71" i="4" s="1"/>
  <c r="F73" i="2"/>
  <c r="F72" i="3"/>
  <c r="B73" i="2"/>
  <c r="B72" i="3"/>
  <c r="D73" i="2"/>
  <c r="D72" i="3"/>
  <c r="C73" i="2"/>
  <c r="C72" i="3"/>
  <c r="E73" i="2"/>
  <c r="E72" i="3"/>
  <c r="D71" i="4" l="1"/>
  <c r="G72" i="3"/>
  <c r="H72" i="3" s="1"/>
  <c r="B72" i="4" s="1"/>
  <c r="E74" i="2"/>
  <c r="E73" i="3"/>
  <c r="C74" i="2"/>
  <c r="C73" i="3"/>
  <c r="B74" i="2"/>
  <c r="B73" i="3"/>
  <c r="F74" i="2"/>
  <c r="F73" i="3"/>
  <c r="D74" i="2"/>
  <c r="D73" i="3"/>
  <c r="D72" i="4" l="1"/>
  <c r="G73" i="3"/>
  <c r="H73" i="3" s="1"/>
  <c r="B73" i="4" s="1"/>
  <c r="C75" i="2"/>
  <c r="C74" i="3"/>
  <c r="F75" i="2"/>
  <c r="F74" i="3"/>
  <c r="B75" i="2"/>
  <c r="B74" i="3"/>
  <c r="D75" i="2"/>
  <c r="D74" i="3"/>
  <c r="E75" i="2"/>
  <c r="E74" i="3"/>
  <c r="D73" i="4" l="1"/>
  <c r="G74" i="3"/>
  <c r="H74" i="3" s="1"/>
  <c r="B74" i="4" s="1"/>
  <c r="B76" i="2"/>
  <c r="B75" i="3"/>
  <c r="D76" i="2"/>
  <c r="D75" i="3"/>
  <c r="F76" i="2"/>
  <c r="F75" i="3"/>
  <c r="E76" i="2"/>
  <c r="E75" i="3"/>
  <c r="C76" i="2"/>
  <c r="C75" i="3"/>
  <c r="D74" i="4" l="1"/>
  <c r="G75" i="3"/>
  <c r="H75" i="3" s="1"/>
  <c r="B75" i="4" s="1"/>
  <c r="F77" i="2"/>
  <c r="F76" i="3"/>
  <c r="D77" i="2"/>
  <c r="D76" i="3"/>
  <c r="E77" i="2"/>
  <c r="E76" i="3"/>
  <c r="C77" i="2"/>
  <c r="C76" i="3"/>
  <c r="B77" i="2"/>
  <c r="B76" i="3"/>
  <c r="D75" i="4" l="1"/>
  <c r="G76" i="3"/>
  <c r="H76" i="3" s="1"/>
  <c r="B76" i="4" s="1"/>
  <c r="C78" i="2"/>
  <c r="C77" i="3"/>
  <c r="E78" i="2"/>
  <c r="E77" i="3"/>
  <c r="D78" i="2"/>
  <c r="D77" i="3"/>
  <c r="B78" i="2"/>
  <c r="B77" i="3"/>
  <c r="F78" i="2"/>
  <c r="F77" i="3"/>
  <c r="D76" i="4" l="1"/>
  <c r="G77" i="3"/>
  <c r="H77" i="3" s="1"/>
  <c r="B77" i="4" s="1"/>
  <c r="F79" i="2"/>
  <c r="F78" i="3"/>
  <c r="C79" i="2"/>
  <c r="C78" i="3"/>
  <c r="D79" i="2"/>
  <c r="D78" i="3"/>
  <c r="E79" i="2"/>
  <c r="E78" i="3"/>
  <c r="B79" i="2"/>
  <c r="B78" i="3"/>
  <c r="D77" i="4" l="1"/>
  <c r="G78" i="3"/>
  <c r="H78" i="3" s="1"/>
  <c r="B78" i="4" s="1"/>
  <c r="F80" i="2"/>
  <c r="F79" i="3"/>
  <c r="B80" i="2"/>
  <c r="B79" i="3"/>
  <c r="D80" i="2"/>
  <c r="D79" i="3"/>
  <c r="E80" i="2"/>
  <c r="E79" i="3"/>
  <c r="C80" i="2"/>
  <c r="C79" i="3"/>
  <c r="D78" i="4" l="1"/>
  <c r="G79" i="3"/>
  <c r="H79" i="3" s="1"/>
  <c r="B79" i="4" s="1"/>
  <c r="B81" i="2"/>
  <c r="B80" i="3"/>
  <c r="E81" i="2"/>
  <c r="E80" i="3"/>
  <c r="D81" i="2"/>
  <c r="D80" i="3"/>
  <c r="C81" i="2"/>
  <c r="C80" i="3"/>
  <c r="F81" i="2"/>
  <c r="F80" i="3"/>
  <c r="D79" i="4" l="1"/>
  <c r="G80" i="3"/>
  <c r="H80" i="3" s="1"/>
  <c r="B80" i="4" s="1"/>
  <c r="C82" i="2"/>
  <c r="C81" i="3"/>
  <c r="D82" i="2"/>
  <c r="D81" i="3"/>
  <c r="E82" i="2"/>
  <c r="E81" i="3"/>
  <c r="F82" i="2"/>
  <c r="F81" i="3"/>
  <c r="B82" i="2"/>
  <c r="B81" i="3"/>
  <c r="D80" i="4" l="1"/>
  <c r="G81" i="3"/>
  <c r="H81" i="3" s="1"/>
  <c r="B81" i="4" s="1"/>
  <c r="F83" i="2"/>
  <c r="F82" i="3"/>
  <c r="D83" i="2"/>
  <c r="D82" i="3"/>
  <c r="E83" i="2"/>
  <c r="E82" i="3"/>
  <c r="B83" i="2"/>
  <c r="B82" i="3"/>
  <c r="C83" i="2"/>
  <c r="C82" i="3"/>
  <c r="D81" i="4" l="1"/>
  <c r="G82" i="3"/>
  <c r="H82" i="3" s="1"/>
  <c r="B82" i="4" s="1"/>
  <c r="B84" i="2"/>
  <c r="B83" i="3"/>
  <c r="E84" i="2"/>
  <c r="E83" i="3"/>
  <c r="D84" i="2"/>
  <c r="D83" i="3"/>
  <c r="C84" i="2"/>
  <c r="C83" i="3"/>
  <c r="F84" i="2"/>
  <c r="F83" i="3"/>
  <c r="D82" i="4" l="1"/>
  <c r="G83" i="3"/>
  <c r="H83" i="3" s="1"/>
  <c r="B83" i="4" s="1"/>
  <c r="C85" i="2"/>
  <c r="C84" i="3"/>
  <c r="D85" i="2"/>
  <c r="D84" i="3"/>
  <c r="E85" i="2"/>
  <c r="E84" i="3"/>
  <c r="F85" i="2"/>
  <c r="F84" i="3"/>
  <c r="B85" i="2"/>
  <c r="B84" i="3"/>
  <c r="D83" i="4" l="1"/>
  <c r="G84" i="3"/>
  <c r="H84" i="3" s="1"/>
  <c r="B84" i="4" s="1"/>
  <c r="F86" i="2"/>
  <c r="F85" i="3"/>
  <c r="E86" i="2"/>
  <c r="E85" i="3"/>
  <c r="D86" i="2"/>
  <c r="D85" i="3"/>
  <c r="B86" i="2"/>
  <c r="B85" i="3"/>
  <c r="C86" i="2"/>
  <c r="C85" i="3"/>
  <c r="D84" i="4" l="1"/>
  <c r="G85" i="3"/>
  <c r="H85" i="3" s="1"/>
  <c r="B85" i="4" s="1"/>
  <c r="B87" i="2"/>
  <c r="B86" i="3"/>
  <c r="D87" i="2"/>
  <c r="D86" i="3"/>
  <c r="E87" i="2"/>
  <c r="E86" i="3"/>
  <c r="C87" i="2"/>
  <c r="C86" i="3"/>
  <c r="F87" i="2"/>
  <c r="F86" i="3"/>
  <c r="D85" i="4" l="1"/>
  <c r="G86" i="3"/>
  <c r="H86" i="3" s="1"/>
  <c r="B86" i="4" s="1"/>
  <c r="C88" i="2"/>
  <c r="C87" i="3"/>
  <c r="E88" i="2"/>
  <c r="E87" i="3"/>
  <c r="D88" i="2"/>
  <c r="D87" i="3"/>
  <c r="F88" i="2"/>
  <c r="F87" i="3"/>
  <c r="B88" i="2"/>
  <c r="B87" i="3"/>
  <c r="D86" i="4" l="1"/>
  <c r="G87" i="3"/>
  <c r="H87" i="3" s="1"/>
  <c r="B87" i="4" s="1"/>
  <c r="F89" i="2"/>
  <c r="F88" i="3"/>
  <c r="D89" i="2"/>
  <c r="D88" i="3"/>
  <c r="E89" i="2"/>
  <c r="E88" i="3"/>
  <c r="B89" i="2"/>
  <c r="B88" i="3"/>
  <c r="C89" i="2"/>
  <c r="C88" i="3"/>
  <c r="D87" i="4" l="1"/>
  <c r="G88" i="3"/>
  <c r="H88" i="3" s="1"/>
  <c r="B88" i="4" s="1"/>
  <c r="B90" i="2"/>
  <c r="B89" i="3"/>
  <c r="E90" i="2"/>
  <c r="E89" i="3"/>
  <c r="D90" i="2"/>
  <c r="D89" i="3"/>
  <c r="C90" i="2"/>
  <c r="C89" i="3"/>
  <c r="F90" i="2"/>
  <c r="F89" i="3"/>
  <c r="D88" i="4" l="1"/>
  <c r="G89" i="3"/>
  <c r="H89" i="3" s="1"/>
  <c r="B89" i="4" s="1"/>
  <c r="C91" i="2"/>
  <c r="C90" i="3"/>
  <c r="E91" i="2"/>
  <c r="E90" i="3"/>
  <c r="D91" i="2"/>
  <c r="D90" i="3"/>
  <c r="F91" i="2"/>
  <c r="F90" i="3"/>
  <c r="B91" i="2"/>
  <c r="B90" i="3"/>
  <c r="D89" i="4" l="1"/>
  <c r="G90" i="3"/>
  <c r="H90" i="3" s="1"/>
  <c r="B90" i="4" s="1"/>
  <c r="D92" i="2"/>
  <c r="D91" i="3"/>
  <c r="E92" i="2"/>
  <c r="E91" i="3"/>
  <c r="F92" i="2"/>
  <c r="F91" i="3"/>
  <c r="B92" i="2"/>
  <c r="B91" i="3"/>
  <c r="C92" i="2"/>
  <c r="C91" i="3"/>
  <c r="D90" i="4" l="1"/>
  <c r="G91" i="3"/>
  <c r="H91" i="3" s="1"/>
  <c r="B91" i="4" s="1"/>
  <c r="F93" i="2"/>
  <c r="F92" i="3"/>
  <c r="E93" i="2"/>
  <c r="E92" i="3"/>
  <c r="B93" i="2"/>
  <c r="B92" i="3"/>
  <c r="C93" i="2"/>
  <c r="C92" i="3"/>
  <c r="D93" i="2"/>
  <c r="D92" i="3"/>
  <c r="D91" i="4" l="1"/>
  <c r="G92" i="3"/>
  <c r="H92" i="3" s="1"/>
  <c r="B92" i="4" s="1"/>
  <c r="C94" i="2"/>
  <c r="C93" i="3"/>
  <c r="B94" i="2"/>
  <c r="B93" i="3"/>
  <c r="E94" i="2"/>
  <c r="E93" i="3"/>
  <c r="D94" i="2"/>
  <c r="D93" i="3"/>
  <c r="F94" i="2"/>
  <c r="F93" i="3"/>
  <c r="D92" i="4" l="1"/>
  <c r="G93" i="3"/>
  <c r="H93" i="3" s="1"/>
  <c r="B93" i="4" s="1"/>
  <c r="D95" i="2"/>
  <c r="D94" i="3"/>
  <c r="E95" i="2"/>
  <c r="E94" i="3"/>
  <c r="B95" i="2"/>
  <c r="B94" i="3"/>
  <c r="F95" i="2"/>
  <c r="F94" i="3"/>
  <c r="C95" i="2"/>
  <c r="C94" i="3"/>
  <c r="D93" i="4" l="1"/>
  <c r="G94" i="3"/>
  <c r="H94" i="3" s="1"/>
  <c r="B94" i="4" s="1"/>
  <c r="B96" i="2"/>
  <c r="B95" i="3"/>
  <c r="E96" i="2"/>
  <c r="E95" i="3"/>
  <c r="F96" i="2"/>
  <c r="F95" i="3"/>
  <c r="C96" i="2"/>
  <c r="C95" i="3"/>
  <c r="D96" i="2"/>
  <c r="D95" i="3"/>
  <c r="D94" i="4" l="1"/>
  <c r="G95" i="3"/>
  <c r="H95" i="3" s="1"/>
  <c r="B95" i="4" s="1"/>
  <c r="F97" i="2"/>
  <c r="F96" i="3"/>
  <c r="E97" i="2"/>
  <c r="E96" i="3"/>
  <c r="C97" i="2"/>
  <c r="C96" i="3"/>
  <c r="D97" i="2"/>
  <c r="D96" i="3"/>
  <c r="B97" i="2"/>
  <c r="B96" i="3"/>
  <c r="D95" i="4" l="1"/>
  <c r="G96" i="3"/>
  <c r="H96" i="3" s="1"/>
  <c r="B96" i="4" s="1"/>
  <c r="D98" i="2"/>
  <c r="D97" i="3"/>
  <c r="C98" i="2"/>
  <c r="C97" i="3"/>
  <c r="E98" i="2"/>
  <c r="E97" i="3"/>
  <c r="B98" i="2"/>
  <c r="B97" i="3"/>
  <c r="F98" i="2"/>
  <c r="F97" i="3"/>
  <c r="D96" i="4" l="1"/>
  <c r="G97" i="3"/>
  <c r="H97" i="3" s="1"/>
  <c r="B97" i="4" s="1"/>
  <c r="E99" i="2"/>
  <c r="E98" i="3"/>
  <c r="C99" i="2"/>
  <c r="C98" i="3"/>
  <c r="B99" i="2"/>
  <c r="B98" i="3"/>
  <c r="F99" i="2"/>
  <c r="F98" i="3"/>
  <c r="D99" i="2"/>
  <c r="D98" i="3"/>
  <c r="D97" i="4" l="1"/>
  <c r="G98" i="3"/>
  <c r="H98" i="3" s="1"/>
  <c r="B98" i="4" s="1"/>
  <c r="F100" i="2"/>
  <c r="F99" i="3"/>
  <c r="C100" i="2"/>
  <c r="C99" i="3"/>
  <c r="B100" i="2"/>
  <c r="B99" i="3"/>
  <c r="D100" i="2"/>
  <c r="D99" i="3"/>
  <c r="E100" i="2"/>
  <c r="E99" i="3"/>
  <c r="D98" i="4" l="1"/>
  <c r="G99" i="3"/>
  <c r="H99" i="3" s="1"/>
  <c r="B99" i="4" s="1"/>
  <c r="D101" i="2"/>
  <c r="D100" i="3"/>
  <c r="C101" i="2"/>
  <c r="C100" i="3"/>
  <c r="B101" i="2"/>
  <c r="B100" i="3"/>
  <c r="E101" i="2"/>
  <c r="E100" i="3"/>
  <c r="F101" i="2"/>
  <c r="F100" i="3"/>
  <c r="D99" i="4" l="1"/>
  <c r="G100" i="3"/>
  <c r="H100" i="3" s="1"/>
  <c r="B100" i="4" s="1"/>
  <c r="D102" i="2"/>
  <c r="D101" i="3"/>
  <c r="F102" i="2"/>
  <c r="F101" i="3"/>
  <c r="E102" i="2"/>
  <c r="E101" i="3"/>
  <c r="B102" i="2"/>
  <c r="B101" i="3"/>
  <c r="C102" i="2"/>
  <c r="C101" i="3"/>
  <c r="D100" i="4" l="1"/>
  <c r="G101" i="3"/>
  <c r="H101" i="3" s="1"/>
  <c r="B101" i="4" s="1"/>
  <c r="B103" i="2"/>
  <c r="B102" i="3"/>
  <c r="F103" i="2"/>
  <c r="F102" i="3"/>
  <c r="E103" i="2"/>
  <c r="E102" i="3"/>
  <c r="C103" i="2"/>
  <c r="C102" i="3"/>
  <c r="D103" i="2"/>
  <c r="D102" i="3"/>
  <c r="D101" i="4" l="1"/>
  <c r="G102" i="3"/>
  <c r="H102" i="3" s="1"/>
  <c r="B102" i="4" s="1"/>
  <c r="B104" i="2"/>
  <c r="B103" i="3"/>
  <c r="D104" i="2"/>
  <c r="D103" i="3"/>
  <c r="C104" i="2"/>
  <c r="C103" i="3"/>
  <c r="E104" i="2"/>
  <c r="E103" i="3"/>
  <c r="F104" i="2"/>
  <c r="F103" i="3"/>
  <c r="D102" i="4" l="1"/>
  <c r="G103" i="3"/>
  <c r="H103" i="3" s="1"/>
  <c r="B103" i="4" s="1"/>
  <c r="E105" i="2"/>
  <c r="E104" i="3"/>
  <c r="D105" i="2"/>
  <c r="D104" i="3"/>
  <c r="C105" i="2"/>
  <c r="C104" i="3"/>
  <c r="F105" i="2"/>
  <c r="F104" i="3"/>
  <c r="B105" i="2"/>
  <c r="B104" i="3"/>
  <c r="D103" i="4" l="1"/>
  <c r="G104" i="3"/>
  <c r="H104" i="3" s="1"/>
  <c r="B104" i="4" s="1"/>
  <c r="D106" i="2"/>
  <c r="D105" i="3"/>
  <c r="C106" i="2"/>
  <c r="C105" i="3"/>
  <c r="F106" i="2"/>
  <c r="F105" i="3"/>
  <c r="B106" i="2"/>
  <c r="B105" i="3"/>
  <c r="E106" i="2"/>
  <c r="E105" i="3"/>
  <c r="D104" i="4" l="1"/>
  <c r="G105" i="3"/>
  <c r="H105" i="3" s="1"/>
  <c r="B105" i="4" s="1"/>
  <c r="B107" i="2"/>
  <c r="B106" i="3"/>
  <c r="E107" i="2"/>
  <c r="E106" i="3"/>
  <c r="F107" i="2"/>
  <c r="F106" i="3"/>
  <c r="C107" i="2"/>
  <c r="C106" i="3"/>
  <c r="D107" i="2"/>
  <c r="D106" i="3"/>
  <c r="D105" i="4" l="1"/>
  <c r="G106" i="3"/>
  <c r="H106" i="3" s="1"/>
  <c r="B106" i="4" s="1"/>
  <c r="E108" i="2"/>
  <c r="E107" i="3"/>
  <c r="C108" i="2"/>
  <c r="C107" i="3"/>
  <c r="F108" i="2"/>
  <c r="F107" i="3"/>
  <c r="D108" i="2"/>
  <c r="D107" i="3"/>
  <c r="B108" i="2"/>
  <c r="B107" i="3"/>
  <c r="D106" i="4" l="1"/>
  <c r="G107" i="3"/>
  <c r="H107" i="3" s="1"/>
  <c r="B107" i="4" s="1"/>
  <c r="F109" i="2"/>
  <c r="F108" i="3"/>
  <c r="D109" i="2"/>
  <c r="D108" i="3"/>
  <c r="C109" i="2"/>
  <c r="C108" i="3"/>
  <c r="B109" i="2"/>
  <c r="B108" i="3"/>
  <c r="E109" i="2"/>
  <c r="E108" i="3"/>
  <c r="D107" i="4" l="1"/>
  <c r="G108" i="3"/>
  <c r="H108" i="3" s="1"/>
  <c r="B108" i="4" s="1"/>
  <c r="B110" i="2"/>
  <c r="B109" i="3"/>
  <c r="C110" i="2"/>
  <c r="C109" i="3"/>
  <c r="D110" i="2"/>
  <c r="D109" i="3"/>
  <c r="E110" i="2"/>
  <c r="E109" i="3"/>
  <c r="F110" i="2"/>
  <c r="F109" i="3"/>
  <c r="D108" i="4" l="1"/>
  <c r="G109" i="3"/>
  <c r="H109" i="3" s="1"/>
  <c r="B109" i="4" s="1"/>
  <c r="E111" i="2"/>
  <c r="E110" i="3"/>
  <c r="C111" i="2"/>
  <c r="C110" i="3"/>
  <c r="D111" i="2"/>
  <c r="D110" i="3"/>
  <c r="F111" i="2"/>
  <c r="F110" i="3"/>
  <c r="B111" i="2"/>
  <c r="B110" i="3"/>
  <c r="D109" i="4" l="1"/>
  <c r="G110" i="3"/>
  <c r="H110" i="3" s="1"/>
  <c r="B110" i="4" s="1"/>
  <c r="F112" i="2"/>
  <c r="F111" i="3"/>
  <c r="D112" i="2"/>
  <c r="D111" i="3"/>
  <c r="C112" i="2"/>
  <c r="C111" i="3"/>
  <c r="B112" i="2"/>
  <c r="B111" i="3"/>
  <c r="E112" i="2"/>
  <c r="E111" i="3"/>
  <c r="D110" i="4" l="1"/>
  <c r="G111" i="3"/>
  <c r="H111" i="3" s="1"/>
  <c r="B111" i="4" s="1"/>
  <c r="B113" i="2"/>
  <c r="B112" i="3"/>
  <c r="D113" i="2"/>
  <c r="D112" i="3"/>
  <c r="C113" i="2"/>
  <c r="C112" i="3"/>
  <c r="E113" i="2"/>
  <c r="E112" i="3"/>
  <c r="F113" i="2"/>
  <c r="F112" i="3"/>
  <c r="D111" i="4" l="1"/>
  <c r="G112" i="3"/>
  <c r="H112" i="3" s="1"/>
  <c r="B112" i="4" s="1"/>
  <c r="E114" i="2"/>
  <c r="E113" i="3"/>
  <c r="C114" i="2"/>
  <c r="C113" i="3"/>
  <c r="D114" i="2"/>
  <c r="D113" i="3"/>
  <c r="F114" i="2"/>
  <c r="F113" i="3"/>
  <c r="B114" i="2"/>
  <c r="B113" i="3"/>
  <c r="D112" i="4" l="1"/>
  <c r="G113" i="3"/>
  <c r="H113" i="3" s="1"/>
  <c r="B113" i="4" s="1"/>
  <c r="D115" i="2"/>
  <c r="D114" i="3"/>
  <c r="F115" i="2"/>
  <c r="F114" i="3"/>
  <c r="C115" i="2"/>
  <c r="C114" i="3"/>
  <c r="B115" i="2"/>
  <c r="B114" i="3"/>
  <c r="E115" i="2"/>
  <c r="E114" i="3"/>
  <c r="D113" i="4" l="1"/>
  <c r="G114" i="3"/>
  <c r="H114" i="3" s="1"/>
  <c r="B114" i="4" s="1"/>
  <c r="C116" i="2"/>
  <c r="C115" i="3"/>
  <c r="F116" i="2"/>
  <c r="F115" i="3"/>
  <c r="B116" i="2"/>
  <c r="B115" i="3"/>
  <c r="E116" i="2"/>
  <c r="E115" i="3"/>
  <c r="D116" i="2"/>
  <c r="D115" i="3"/>
  <c r="D114" i="4" l="1"/>
  <c r="G115" i="3"/>
  <c r="H115" i="3" s="1"/>
  <c r="B115" i="4" s="1"/>
  <c r="B117" i="2"/>
  <c r="B116" i="3"/>
  <c r="E117" i="2"/>
  <c r="E116" i="3"/>
  <c r="F117" i="2"/>
  <c r="F116" i="3"/>
  <c r="D117" i="2"/>
  <c r="D116" i="3"/>
  <c r="C117" i="2"/>
  <c r="C116" i="3"/>
  <c r="D115" i="4" l="1"/>
  <c r="G116" i="3"/>
  <c r="H116" i="3" s="1"/>
  <c r="B116" i="4" s="1"/>
  <c r="F118" i="2"/>
  <c r="F117" i="3"/>
  <c r="D118" i="2"/>
  <c r="D117" i="3"/>
  <c r="E118" i="2"/>
  <c r="E117" i="3"/>
  <c r="C118" i="2"/>
  <c r="C117" i="3"/>
  <c r="B118" i="2"/>
  <c r="B117" i="3"/>
  <c r="D116" i="4" l="1"/>
  <c r="G117" i="3"/>
  <c r="H117" i="3" s="1"/>
  <c r="B117" i="4" s="1"/>
  <c r="C119" i="2"/>
  <c r="C118" i="3"/>
  <c r="E119" i="2"/>
  <c r="E118" i="3"/>
  <c r="D119" i="2"/>
  <c r="D118" i="3"/>
  <c r="B119" i="2"/>
  <c r="B118" i="3"/>
  <c r="F119" i="2"/>
  <c r="F118" i="3"/>
  <c r="D117" i="4" l="1"/>
  <c r="G118" i="3"/>
  <c r="H118" i="3" s="1"/>
  <c r="B118" i="4" s="1"/>
  <c r="B120" i="2"/>
  <c r="B119" i="3"/>
  <c r="D120" i="2"/>
  <c r="D119" i="3"/>
  <c r="E120" i="2"/>
  <c r="E119" i="3"/>
  <c r="F120" i="2"/>
  <c r="F119" i="3"/>
  <c r="C120" i="2"/>
  <c r="C119" i="3"/>
  <c r="D118" i="4" l="1"/>
  <c r="G119" i="3"/>
  <c r="H119" i="3" s="1"/>
  <c r="B119" i="4" s="1"/>
  <c r="E121" i="2"/>
  <c r="E120" i="3"/>
  <c r="F121" i="2"/>
  <c r="F120" i="3"/>
  <c r="D121" i="2"/>
  <c r="D120" i="3"/>
  <c r="C121" i="2"/>
  <c r="C120" i="3"/>
  <c r="B121" i="2"/>
  <c r="B120" i="3"/>
  <c r="D119" i="4" l="1"/>
  <c r="G120" i="3"/>
  <c r="H120" i="3" s="1"/>
  <c r="B120" i="4" s="1"/>
  <c r="C122" i="2"/>
  <c r="C121" i="3"/>
  <c r="D122" i="2"/>
  <c r="D121" i="3"/>
  <c r="F122" i="2"/>
  <c r="F121" i="3"/>
  <c r="B122" i="2"/>
  <c r="B121" i="3"/>
  <c r="E122" i="2"/>
  <c r="E121" i="3"/>
  <c r="D120" i="4" l="1"/>
  <c r="G121" i="3"/>
  <c r="H121" i="3" s="1"/>
  <c r="B121" i="4" s="1"/>
  <c r="B123" i="2"/>
  <c r="B122" i="3"/>
  <c r="F123" i="2"/>
  <c r="F122" i="3"/>
  <c r="D123" i="2"/>
  <c r="D122" i="3"/>
  <c r="E123" i="2"/>
  <c r="E122" i="3"/>
  <c r="C123" i="2"/>
  <c r="C122" i="3"/>
  <c r="D121" i="4" l="1"/>
  <c r="G122" i="3"/>
  <c r="H122" i="3" s="1"/>
  <c r="B122" i="4" s="1"/>
  <c r="E124" i="2"/>
  <c r="E123" i="3"/>
  <c r="F124" i="2"/>
  <c r="F123" i="3"/>
  <c r="D124" i="2"/>
  <c r="D123" i="3"/>
  <c r="C124" i="2"/>
  <c r="C123" i="3"/>
  <c r="B124" i="2"/>
  <c r="B123" i="3"/>
  <c r="D122" i="4" l="1"/>
  <c r="G123" i="3"/>
  <c r="H123" i="3" s="1"/>
  <c r="B123" i="4" s="1"/>
  <c r="C125" i="2"/>
  <c r="C124" i="3"/>
  <c r="D125" i="2"/>
  <c r="D124" i="3"/>
  <c r="F125" i="2"/>
  <c r="F124" i="3"/>
  <c r="B125" i="2"/>
  <c r="B124" i="3"/>
  <c r="E125" i="2"/>
  <c r="E124" i="3"/>
  <c r="D123" i="4" l="1"/>
  <c r="G124" i="3"/>
  <c r="H124" i="3" s="1"/>
  <c r="B124" i="4" s="1"/>
  <c r="B126" i="2"/>
  <c r="B125" i="3"/>
  <c r="F126" i="2"/>
  <c r="F125" i="3"/>
  <c r="D126" i="2"/>
  <c r="D125" i="3"/>
  <c r="E126" i="2"/>
  <c r="E125" i="3"/>
  <c r="C126" i="2"/>
  <c r="C125" i="3"/>
  <c r="D124" i="4" l="1"/>
  <c r="G125" i="3"/>
  <c r="H125" i="3" s="1"/>
  <c r="B125" i="4" s="1"/>
  <c r="D127" i="2"/>
  <c r="D126" i="3"/>
  <c r="F127" i="2"/>
  <c r="F126" i="3"/>
  <c r="E127" i="2"/>
  <c r="E126" i="3"/>
  <c r="C127" i="2"/>
  <c r="C126" i="3"/>
  <c r="B127" i="2"/>
  <c r="B126" i="3"/>
  <c r="D125" i="4" l="1"/>
  <c r="G126" i="3"/>
  <c r="H126" i="3" s="1"/>
  <c r="B126" i="4" s="1"/>
  <c r="C128" i="2"/>
  <c r="C127" i="3"/>
  <c r="F128" i="2"/>
  <c r="F127" i="3"/>
  <c r="E128" i="2"/>
  <c r="E127" i="3"/>
  <c r="B128" i="2"/>
  <c r="B127" i="3"/>
  <c r="D128" i="2"/>
  <c r="D127" i="3"/>
  <c r="D126" i="4" l="1"/>
  <c r="G127" i="3"/>
  <c r="H127" i="3" s="1"/>
  <c r="B127" i="4" s="1"/>
  <c r="B129" i="2"/>
  <c r="B128" i="3"/>
  <c r="E129" i="2"/>
  <c r="E128" i="3"/>
  <c r="F129" i="2"/>
  <c r="F128" i="3"/>
  <c r="D129" i="2"/>
  <c r="D128" i="3"/>
  <c r="C129" i="2"/>
  <c r="C128" i="3"/>
  <c r="D127" i="4" l="1"/>
  <c r="G128" i="3"/>
  <c r="H128" i="3" s="1"/>
  <c r="B128" i="4" s="1"/>
  <c r="F130" i="2"/>
  <c r="F129" i="3"/>
  <c r="D130" i="2"/>
  <c r="D129" i="3"/>
  <c r="E130" i="2"/>
  <c r="E129" i="3"/>
  <c r="C130" i="2"/>
  <c r="C129" i="3"/>
  <c r="B130" i="2"/>
  <c r="B129" i="3"/>
  <c r="G129" i="3" l="1"/>
  <c r="H129" i="3" s="1"/>
  <c r="B129" i="4" s="1"/>
  <c r="C131" i="2"/>
  <c r="C130" i="3"/>
  <c r="E131" i="2"/>
  <c r="E130" i="3"/>
  <c r="D131" i="2"/>
  <c r="D130" i="3"/>
  <c r="B131" i="2"/>
  <c r="B130" i="3"/>
  <c r="F131" i="2"/>
  <c r="F130" i="3"/>
  <c r="G130" i="3" l="1"/>
  <c r="H130" i="3" s="1"/>
  <c r="B130" i="4" s="1"/>
  <c r="B132" i="2"/>
  <c r="B131" i="3"/>
  <c r="D132" i="2"/>
  <c r="D131" i="3"/>
  <c r="E132" i="2"/>
  <c r="E131" i="3"/>
  <c r="F132" i="2"/>
  <c r="F131" i="3"/>
  <c r="C132" i="2"/>
  <c r="C131" i="3"/>
  <c r="G131" i="3" l="1"/>
  <c r="H131" i="3" s="1"/>
  <c r="B131" i="4" s="1"/>
  <c r="F133" i="2"/>
  <c r="F132" i="3"/>
  <c r="E133" i="2"/>
  <c r="E132" i="3"/>
  <c r="D133" i="2"/>
  <c r="D132" i="3"/>
  <c r="C133" i="2"/>
  <c r="C132" i="3"/>
  <c r="B133" i="2"/>
  <c r="B132" i="3"/>
  <c r="G132" i="3" l="1"/>
  <c r="H132" i="3" s="1"/>
  <c r="B132" i="4" s="1"/>
  <c r="D134" i="2"/>
  <c r="D133" i="3"/>
  <c r="C134" i="2"/>
  <c r="C133" i="3"/>
  <c r="E134" i="2"/>
  <c r="E133" i="3"/>
  <c r="B134" i="2"/>
  <c r="B133" i="3"/>
  <c r="F134" i="2"/>
  <c r="F133" i="3"/>
  <c r="G133" i="3" l="1"/>
  <c r="H133" i="3" s="1"/>
  <c r="B133" i="4" s="1"/>
  <c r="E135" i="2"/>
  <c r="E134" i="3"/>
  <c r="B135" i="2"/>
  <c r="B134" i="3"/>
  <c r="C135" i="2"/>
  <c r="C134" i="3"/>
  <c r="F135" i="2"/>
  <c r="F134" i="3"/>
  <c r="D135" i="2"/>
  <c r="D134" i="3"/>
  <c r="G134" i="3" l="1"/>
  <c r="H134" i="3" s="1"/>
  <c r="B134" i="4" s="1"/>
  <c r="F136" i="2"/>
  <c r="F135" i="3"/>
  <c r="B136" i="2"/>
  <c r="B135" i="3"/>
  <c r="C136" i="2"/>
  <c r="C135" i="3"/>
  <c r="D136" i="2"/>
  <c r="D135" i="3"/>
  <c r="E136" i="2"/>
  <c r="E135" i="3"/>
  <c r="G135" i="3" l="1"/>
  <c r="H135" i="3" s="1"/>
  <c r="B135" i="4" s="1"/>
  <c r="D137" i="2"/>
  <c r="D136" i="3"/>
  <c r="C137" i="2"/>
  <c r="C136" i="3"/>
  <c r="B137" i="2"/>
  <c r="B136" i="3"/>
  <c r="E137" i="2"/>
  <c r="E136" i="3"/>
  <c r="F137" i="2"/>
  <c r="F136" i="3"/>
  <c r="G136" i="3" l="1"/>
  <c r="H136" i="3" s="1"/>
  <c r="B136" i="4" s="1"/>
  <c r="E138" i="2"/>
  <c r="E137" i="3"/>
  <c r="B138" i="2"/>
  <c r="B137" i="3"/>
  <c r="C138" i="2"/>
  <c r="C137" i="3"/>
  <c r="F138" i="2"/>
  <c r="F137" i="3"/>
  <c r="D138" i="2"/>
  <c r="D137" i="3"/>
  <c r="G137" i="3" l="1"/>
  <c r="H137" i="3" s="1"/>
  <c r="B137" i="4" s="1"/>
  <c r="F139" i="2"/>
  <c r="F138" i="3"/>
  <c r="B139" i="2"/>
  <c r="B138" i="3"/>
  <c r="C139" i="2"/>
  <c r="C138" i="3"/>
  <c r="D139" i="2"/>
  <c r="D138" i="3"/>
  <c r="E139" i="2"/>
  <c r="E138" i="3"/>
  <c r="G138" i="3" l="1"/>
  <c r="H138" i="3" s="1"/>
  <c r="B138" i="4" s="1"/>
  <c r="D140" i="2"/>
  <c r="D139" i="3"/>
  <c r="C140" i="2"/>
  <c r="C139" i="3"/>
  <c r="B140" i="2"/>
  <c r="B139" i="3"/>
  <c r="E140" i="2"/>
  <c r="E139" i="3"/>
  <c r="F140" i="2"/>
  <c r="F139" i="3"/>
  <c r="G139" i="3" l="1"/>
  <c r="H139" i="3" s="1"/>
  <c r="B139" i="4" s="1"/>
  <c r="B141" i="2"/>
  <c r="B140" i="3"/>
  <c r="E141" i="2"/>
  <c r="E140" i="3"/>
  <c r="C141" i="2"/>
  <c r="C140" i="3"/>
  <c r="F141" i="2"/>
  <c r="F140" i="3"/>
  <c r="D141" i="2"/>
  <c r="D140" i="3"/>
  <c r="G140" i="3" l="1"/>
  <c r="H140" i="3" s="1"/>
  <c r="B140" i="4" s="1"/>
  <c r="C142" i="2"/>
  <c r="C141" i="3"/>
  <c r="F142" i="2"/>
  <c r="F141" i="3"/>
  <c r="E142" i="2"/>
  <c r="E141" i="3"/>
  <c r="D142" i="2"/>
  <c r="D141" i="3"/>
  <c r="B142" i="2"/>
  <c r="B141" i="3"/>
  <c r="G141" i="3" l="1"/>
  <c r="H141" i="3" s="1"/>
  <c r="B141" i="4" s="1"/>
  <c r="D143" i="2"/>
  <c r="D142" i="3"/>
  <c r="F143" i="2"/>
  <c r="F142" i="3"/>
  <c r="E143" i="2"/>
  <c r="E142" i="3"/>
  <c r="B143" i="2"/>
  <c r="B142" i="3"/>
  <c r="C143" i="2"/>
  <c r="C142" i="3"/>
  <c r="G142" i="3" l="1"/>
  <c r="H142" i="3" s="1"/>
  <c r="B142" i="4" s="1"/>
  <c r="B144" i="2"/>
  <c r="B143" i="3"/>
  <c r="F144" i="2"/>
  <c r="F143" i="3"/>
  <c r="E144" i="2"/>
  <c r="E143" i="3"/>
  <c r="C144" i="2"/>
  <c r="C143" i="3"/>
  <c r="D144" i="2"/>
  <c r="D143" i="3"/>
  <c r="G143" i="3" l="1"/>
  <c r="H143" i="3" s="1"/>
  <c r="B143" i="4" s="1"/>
  <c r="C145" i="2"/>
  <c r="C144" i="3"/>
  <c r="F145" i="2"/>
  <c r="F144" i="3"/>
  <c r="E145" i="2"/>
  <c r="E144" i="3"/>
  <c r="D145" i="2"/>
  <c r="D144" i="3"/>
  <c r="B145" i="2"/>
  <c r="B144" i="3"/>
  <c r="G144" i="3" l="1"/>
  <c r="H144" i="3" s="1"/>
  <c r="B144" i="4" s="1"/>
  <c r="D146" i="2"/>
  <c r="D145" i="3"/>
  <c r="E146" i="2"/>
  <c r="E145" i="3"/>
  <c r="F146" i="2"/>
  <c r="F145" i="3"/>
  <c r="B146" i="2"/>
  <c r="B145" i="3"/>
  <c r="C146" i="2"/>
  <c r="C145" i="3"/>
  <c r="G145" i="3" l="1"/>
  <c r="H145" i="3" s="1"/>
  <c r="B145" i="4" s="1"/>
  <c r="B147" i="2"/>
  <c r="B146" i="3"/>
  <c r="F147" i="2"/>
  <c r="F146" i="3"/>
  <c r="E147" i="2"/>
  <c r="E146" i="3"/>
  <c r="C147" i="2"/>
  <c r="C146" i="3"/>
  <c r="D147" i="2"/>
  <c r="D146" i="3"/>
  <c r="G146" i="3" l="1"/>
  <c r="H146" i="3" s="1"/>
  <c r="B146" i="4" s="1"/>
  <c r="C148" i="2"/>
  <c r="C147" i="3"/>
  <c r="E148" i="2"/>
  <c r="E147" i="3"/>
  <c r="F148" i="2"/>
  <c r="F147" i="3"/>
  <c r="D148" i="2"/>
  <c r="D147" i="3"/>
  <c r="B148" i="2"/>
  <c r="B147" i="3"/>
  <c r="G147" i="3" l="1"/>
  <c r="H147" i="3" s="1"/>
  <c r="B147" i="4" s="1"/>
  <c r="D149" i="2"/>
  <c r="D148" i="3"/>
  <c r="E149" i="2"/>
  <c r="E148" i="3"/>
  <c r="F149" i="2"/>
  <c r="F148" i="3"/>
  <c r="B149" i="2"/>
  <c r="B148" i="3"/>
  <c r="C149" i="2"/>
  <c r="C148" i="3"/>
  <c r="G148" i="3" l="1"/>
  <c r="H148" i="3" s="1"/>
  <c r="B148" i="4" s="1"/>
  <c r="B150" i="2"/>
  <c r="B149" i="3"/>
  <c r="F150" i="2"/>
  <c r="F149" i="3"/>
  <c r="E150" i="2"/>
  <c r="E149" i="3"/>
  <c r="C150" i="2"/>
  <c r="C149" i="3"/>
  <c r="D150" i="2"/>
  <c r="D149" i="3"/>
  <c r="G149" i="3" l="1"/>
  <c r="H149" i="3" s="1"/>
  <c r="B149" i="4" s="1"/>
  <c r="C151" i="2"/>
  <c r="C150" i="3"/>
  <c r="E151" i="2"/>
  <c r="E150" i="3"/>
  <c r="F151" i="2"/>
  <c r="F150" i="3"/>
  <c r="D151" i="2"/>
  <c r="D150" i="3"/>
  <c r="B151" i="2"/>
  <c r="B150" i="3"/>
  <c r="G150" i="3" l="1"/>
  <c r="H150" i="3" s="1"/>
  <c r="B150" i="4" s="1"/>
  <c r="D152" i="2"/>
  <c r="D151" i="3"/>
  <c r="E152" i="2"/>
  <c r="E151" i="3"/>
  <c r="F152" i="2"/>
  <c r="F151" i="3"/>
  <c r="B152" i="2"/>
  <c r="B151" i="3"/>
  <c r="C152" i="2"/>
  <c r="C151" i="3"/>
  <c r="G151" i="3" l="1"/>
  <c r="H151" i="3" s="1"/>
  <c r="B151" i="4" s="1"/>
  <c r="B153" i="2"/>
  <c r="B152" i="3"/>
  <c r="F153" i="2"/>
  <c r="F152" i="3"/>
  <c r="E153" i="2"/>
  <c r="E152" i="3"/>
  <c r="C153" i="2"/>
  <c r="C152" i="3"/>
  <c r="D153" i="2"/>
  <c r="D152" i="3"/>
  <c r="G152" i="3" l="1"/>
  <c r="H152" i="3" s="1"/>
  <c r="B152" i="4" s="1"/>
  <c r="C154" i="2"/>
  <c r="C153" i="3"/>
  <c r="E154" i="2"/>
  <c r="E153" i="3"/>
  <c r="F154" i="2"/>
  <c r="F153" i="3"/>
  <c r="D154" i="2"/>
  <c r="D153" i="3"/>
  <c r="B154" i="2"/>
  <c r="B153" i="3"/>
  <c r="G153" i="3" l="1"/>
  <c r="H153" i="3" s="1"/>
  <c r="B153" i="4" s="1"/>
  <c r="D155" i="2"/>
  <c r="D154" i="3"/>
  <c r="F155" i="2"/>
  <c r="F154" i="3"/>
  <c r="E155" i="2"/>
  <c r="E154" i="3"/>
  <c r="B155" i="2"/>
  <c r="B154" i="3"/>
  <c r="C155" i="2"/>
  <c r="C154" i="3"/>
  <c r="G154" i="3" l="1"/>
  <c r="H154" i="3" s="1"/>
  <c r="B154" i="4" s="1"/>
  <c r="B156" i="2"/>
  <c r="B155" i="3"/>
  <c r="E156" i="2"/>
  <c r="E155" i="3"/>
  <c r="F156" i="2"/>
  <c r="F155" i="3"/>
  <c r="C156" i="2"/>
  <c r="C155" i="3"/>
  <c r="D156" i="2"/>
  <c r="D155" i="3"/>
  <c r="G155" i="3" l="1"/>
  <c r="H155" i="3" s="1"/>
  <c r="B155" i="4" s="1"/>
  <c r="C157" i="2"/>
  <c r="C156" i="3"/>
  <c r="F157" i="2"/>
  <c r="F156" i="3"/>
  <c r="E157" i="2"/>
  <c r="E156" i="3"/>
  <c r="D157" i="2"/>
  <c r="D156" i="3"/>
  <c r="B157" i="2"/>
  <c r="B156" i="3"/>
  <c r="G156" i="3" l="1"/>
  <c r="H156" i="3" s="1"/>
  <c r="B156" i="4" s="1"/>
  <c r="D158" i="2"/>
  <c r="D157" i="3"/>
  <c r="E158" i="2"/>
  <c r="E157" i="3"/>
  <c r="F158" i="2"/>
  <c r="F157" i="3"/>
  <c r="B158" i="2"/>
  <c r="B157" i="3"/>
  <c r="C158" i="2"/>
  <c r="C157" i="3"/>
  <c r="G157" i="3" l="1"/>
  <c r="H157" i="3" s="1"/>
  <c r="B157" i="4" s="1"/>
  <c r="B159" i="2"/>
  <c r="B158" i="3"/>
  <c r="F159" i="2"/>
  <c r="F158" i="3"/>
  <c r="E159" i="2"/>
  <c r="E158" i="3"/>
  <c r="C159" i="2"/>
  <c r="C158" i="3"/>
  <c r="D159" i="2"/>
  <c r="D158" i="3"/>
  <c r="G158" i="3" l="1"/>
  <c r="H158" i="3" s="1"/>
  <c r="B158" i="4" s="1"/>
  <c r="F160" i="2"/>
  <c r="F159" i="3"/>
  <c r="C160" i="2"/>
  <c r="C159" i="3"/>
  <c r="E160" i="2"/>
  <c r="E159" i="3"/>
  <c r="D160" i="2"/>
  <c r="D159" i="3"/>
  <c r="B160" i="2"/>
  <c r="B159" i="3"/>
  <c r="G159" i="3" l="1"/>
  <c r="H159" i="3" s="1"/>
  <c r="B159" i="4" s="1"/>
  <c r="D161" i="2"/>
  <c r="D160" i="3"/>
  <c r="E161" i="2"/>
  <c r="E160" i="3"/>
  <c r="C161" i="2"/>
  <c r="C160" i="3"/>
  <c r="B161" i="2"/>
  <c r="B160" i="3"/>
  <c r="F161" i="2"/>
  <c r="F160" i="3"/>
  <c r="G160" i="3" l="1"/>
  <c r="H160" i="3" s="1"/>
  <c r="B160" i="4" s="1"/>
  <c r="C162" i="2"/>
  <c r="C161" i="3"/>
  <c r="E162" i="2"/>
  <c r="E161" i="3"/>
  <c r="B162" i="2"/>
  <c r="B161" i="3"/>
  <c r="F162" i="2"/>
  <c r="F161" i="3"/>
  <c r="D162" i="2"/>
  <c r="D161" i="3"/>
  <c r="G161" i="3" l="1"/>
  <c r="H161" i="3" s="1"/>
  <c r="B161" i="4" s="1"/>
  <c r="B163" i="2"/>
  <c r="B162" i="3"/>
  <c r="F163" i="2"/>
  <c r="F162" i="3"/>
  <c r="E163" i="2"/>
  <c r="E162" i="3"/>
  <c r="D163" i="2"/>
  <c r="D162" i="3"/>
  <c r="C163" i="2"/>
  <c r="C162" i="3"/>
  <c r="G162" i="3" l="1"/>
  <c r="H162" i="3" s="1"/>
  <c r="B162" i="4" s="1"/>
  <c r="F164" i="2"/>
  <c r="F163" i="3"/>
  <c r="D164" i="2"/>
  <c r="D163" i="3"/>
  <c r="E164" i="2"/>
  <c r="E163" i="3"/>
  <c r="C164" i="2"/>
  <c r="C163" i="3"/>
  <c r="B164" i="2"/>
  <c r="B163" i="3"/>
  <c r="G163" i="3" l="1"/>
  <c r="H163" i="3" s="1"/>
  <c r="B163" i="4" s="1"/>
  <c r="C165" i="2"/>
  <c r="C164" i="3"/>
  <c r="E165" i="2"/>
  <c r="E164" i="3"/>
  <c r="D165" i="2"/>
  <c r="D164" i="3"/>
  <c r="B165" i="2"/>
  <c r="B164" i="3"/>
  <c r="F165" i="2"/>
  <c r="F164" i="3"/>
  <c r="G164" i="3" l="1"/>
  <c r="H164" i="3" s="1"/>
  <c r="B164" i="4" s="1"/>
  <c r="D166" i="2"/>
  <c r="D165" i="3"/>
  <c r="B166" i="2"/>
  <c r="B165" i="3"/>
  <c r="E166" i="2"/>
  <c r="E165" i="3"/>
  <c r="F166" i="2"/>
  <c r="F165" i="3"/>
  <c r="C166" i="2"/>
  <c r="C165" i="3"/>
  <c r="G165" i="3" l="1"/>
  <c r="H165" i="3" s="1"/>
  <c r="B165" i="4" s="1"/>
  <c r="F167" i="2"/>
  <c r="F166" i="3"/>
  <c r="E167" i="2"/>
  <c r="E166" i="3"/>
  <c r="B167" i="2"/>
  <c r="B166" i="3"/>
  <c r="C167" i="2"/>
  <c r="C166" i="3"/>
  <c r="D167" i="2"/>
  <c r="D166" i="3"/>
  <c r="G166" i="3" l="1"/>
  <c r="H166" i="3" s="1"/>
  <c r="B166" i="4" s="1"/>
  <c r="C168" i="2"/>
  <c r="C167" i="3"/>
  <c r="B168" i="2"/>
  <c r="B167" i="3"/>
  <c r="E168" i="2"/>
  <c r="E167" i="3"/>
  <c r="D168" i="2"/>
  <c r="D167" i="3"/>
  <c r="F168" i="2"/>
  <c r="F167" i="3"/>
  <c r="G167" i="3" l="1"/>
  <c r="H167" i="3" s="1"/>
  <c r="B167" i="4" s="1"/>
  <c r="D169" i="2"/>
  <c r="D168" i="3"/>
  <c r="E169" i="2"/>
  <c r="E168" i="3"/>
  <c r="B169" i="2"/>
  <c r="B168" i="3"/>
  <c r="F169" i="2"/>
  <c r="F168" i="3"/>
  <c r="C169" i="2"/>
  <c r="C168" i="3"/>
  <c r="G168" i="3" l="1"/>
  <c r="H168" i="3" s="1"/>
  <c r="B168" i="4" s="1"/>
  <c r="F170" i="2"/>
  <c r="F169" i="3"/>
  <c r="B170" i="2"/>
  <c r="B169" i="3"/>
  <c r="E170" i="2"/>
  <c r="E169" i="3"/>
  <c r="C170" i="2"/>
  <c r="C169" i="3"/>
  <c r="D170" i="2"/>
  <c r="D169" i="3"/>
  <c r="G169" i="3" l="1"/>
  <c r="H169" i="3" s="1"/>
  <c r="B169" i="4" s="1"/>
  <c r="C171" i="2"/>
  <c r="C170" i="3"/>
  <c r="E171" i="2"/>
  <c r="E170" i="3"/>
  <c r="B171" i="2"/>
  <c r="B170" i="3"/>
  <c r="D171" i="2"/>
  <c r="D170" i="3"/>
  <c r="F171" i="2"/>
  <c r="F170" i="3"/>
  <c r="G170" i="3" l="1"/>
  <c r="H170" i="3" s="1"/>
  <c r="B170" i="4" s="1"/>
  <c r="B172" i="2"/>
  <c r="B171" i="3"/>
  <c r="D172" i="2"/>
  <c r="D171" i="3"/>
  <c r="E172" i="2"/>
  <c r="E171" i="3"/>
  <c r="F172" i="2"/>
  <c r="F171" i="3"/>
  <c r="C172" i="2"/>
  <c r="C171" i="3"/>
  <c r="G171" i="3" l="1"/>
  <c r="H171" i="3" s="1"/>
  <c r="B171" i="4" s="1"/>
  <c r="F173" i="2"/>
  <c r="F172" i="3"/>
  <c r="E173" i="2"/>
  <c r="E172" i="3"/>
  <c r="D173" i="2"/>
  <c r="D172" i="3"/>
  <c r="C173" i="2"/>
  <c r="C172" i="3"/>
  <c r="B173" i="2"/>
  <c r="B172" i="3"/>
  <c r="G172" i="3" l="1"/>
  <c r="H172" i="3" s="1"/>
  <c r="B172" i="4" s="1"/>
  <c r="C174" i="2"/>
  <c r="C173" i="3"/>
  <c r="E174" i="2"/>
  <c r="E173" i="3"/>
  <c r="D174" i="2"/>
  <c r="D173" i="3"/>
  <c r="B174" i="2"/>
  <c r="B173" i="3"/>
  <c r="F174" i="2"/>
  <c r="F173" i="3"/>
  <c r="G173" i="3" l="1"/>
  <c r="H173" i="3" s="1"/>
  <c r="B173" i="4" s="1"/>
  <c r="B175" i="2"/>
  <c r="B174" i="3"/>
  <c r="D175" i="2"/>
  <c r="D174" i="3"/>
  <c r="E175" i="2"/>
  <c r="E174" i="3"/>
  <c r="F175" i="2"/>
  <c r="F174" i="3"/>
  <c r="C175" i="2"/>
  <c r="C174" i="3"/>
  <c r="G174" i="3" l="1"/>
  <c r="H174" i="3" s="1"/>
  <c r="B174" i="4" s="1"/>
  <c r="F176" i="2"/>
  <c r="F175" i="3"/>
  <c r="D176" i="2"/>
  <c r="D175" i="3"/>
  <c r="E176" i="2"/>
  <c r="E175" i="3"/>
  <c r="C176" i="2"/>
  <c r="C175" i="3"/>
  <c r="B176" i="2"/>
  <c r="B175" i="3"/>
  <c r="G175" i="3" l="1"/>
  <c r="H175" i="3" s="1"/>
  <c r="B175" i="4" s="1"/>
  <c r="C177" i="2"/>
  <c r="C176" i="3"/>
  <c r="E177" i="2"/>
  <c r="E176" i="3"/>
  <c r="D177" i="2"/>
  <c r="D176" i="3"/>
  <c r="B177" i="2"/>
  <c r="B176" i="3"/>
  <c r="F177" i="2"/>
  <c r="F176" i="3"/>
  <c r="G176" i="3" l="1"/>
  <c r="H176" i="3" s="1"/>
  <c r="B176" i="4" s="1"/>
  <c r="B178" i="2"/>
  <c r="B177" i="3"/>
  <c r="D178" i="2"/>
  <c r="D177" i="3"/>
  <c r="E178" i="2"/>
  <c r="E177" i="3"/>
  <c r="F178" i="2"/>
  <c r="F177" i="3"/>
  <c r="C178" i="2"/>
  <c r="C177" i="3"/>
  <c r="G177" i="3" l="1"/>
  <c r="H177" i="3" s="1"/>
  <c r="B177" i="4" s="1"/>
  <c r="F179" i="2"/>
  <c r="F178" i="3"/>
  <c r="D179" i="2"/>
  <c r="D178" i="3"/>
  <c r="E179" i="2"/>
  <c r="E178" i="3"/>
  <c r="C179" i="2"/>
  <c r="C178" i="3"/>
  <c r="B179" i="2"/>
  <c r="B178" i="3"/>
  <c r="G178" i="3" l="1"/>
  <c r="H178" i="3" s="1"/>
  <c r="B178" i="4" s="1"/>
  <c r="C180" i="2"/>
  <c r="C179" i="3"/>
  <c r="E180" i="2"/>
  <c r="E179" i="3"/>
  <c r="D180" i="2"/>
  <c r="D179" i="3"/>
  <c r="B180" i="2"/>
  <c r="B179" i="3"/>
  <c r="F180" i="2"/>
  <c r="F179" i="3"/>
  <c r="G179" i="3" l="1"/>
  <c r="H179" i="3" s="1"/>
  <c r="B179" i="4" s="1"/>
  <c r="B181" i="2"/>
  <c r="B180" i="3"/>
  <c r="D181" i="2"/>
  <c r="D180" i="3"/>
  <c r="E181" i="2"/>
  <c r="E180" i="3"/>
  <c r="F181" i="2"/>
  <c r="F180" i="3"/>
  <c r="C181" i="2"/>
  <c r="C180" i="3"/>
  <c r="G180" i="3" l="1"/>
  <c r="H180" i="3" s="1"/>
  <c r="B180" i="4" s="1"/>
  <c r="E182" i="2"/>
  <c r="E181" i="3"/>
  <c r="D182" i="2"/>
  <c r="D181" i="3"/>
  <c r="F182" i="2"/>
  <c r="F181" i="3"/>
  <c r="C182" i="2"/>
  <c r="C181" i="3"/>
  <c r="B182" i="2"/>
  <c r="B181" i="3"/>
  <c r="G181" i="3" l="1"/>
  <c r="H181" i="3" s="1"/>
  <c r="B181" i="4" s="1"/>
  <c r="C183" i="2"/>
  <c r="C182" i="3"/>
  <c r="F183" i="2"/>
  <c r="F182" i="3"/>
  <c r="D183" i="2"/>
  <c r="D182" i="3"/>
  <c r="B183" i="2"/>
  <c r="B182" i="3"/>
  <c r="E183" i="2"/>
  <c r="E182" i="3"/>
  <c r="G182" i="3" l="1"/>
  <c r="H182" i="3" s="1"/>
  <c r="B182" i="4" s="1"/>
  <c r="B184" i="2"/>
  <c r="B183" i="3"/>
  <c r="D184" i="2"/>
  <c r="D183" i="3"/>
  <c r="F184" i="2"/>
  <c r="F183" i="3"/>
  <c r="E184" i="2"/>
  <c r="E183" i="3"/>
  <c r="C184" i="2"/>
  <c r="C183" i="3"/>
  <c r="G183" i="3" l="1"/>
  <c r="H183" i="3" s="1"/>
  <c r="B183" i="4" s="1"/>
  <c r="E185" i="2"/>
  <c r="E184" i="3"/>
  <c r="F185" i="2"/>
  <c r="F184" i="3"/>
  <c r="D185" i="2"/>
  <c r="D184" i="3"/>
  <c r="C185" i="2"/>
  <c r="C184" i="3"/>
  <c r="B185" i="2"/>
  <c r="B184" i="3"/>
  <c r="G184" i="3" l="1"/>
  <c r="H184" i="3" s="1"/>
  <c r="B184" i="4" s="1"/>
  <c r="C186" i="2"/>
  <c r="C185" i="3"/>
  <c r="D186" i="2"/>
  <c r="D185" i="3"/>
  <c r="F186" i="2"/>
  <c r="F185" i="3"/>
  <c r="B186" i="2"/>
  <c r="B185" i="3"/>
  <c r="E186" i="2"/>
  <c r="E185" i="3"/>
  <c r="G185" i="3" l="1"/>
  <c r="H185" i="3" s="1"/>
  <c r="B185" i="4" s="1"/>
  <c r="B187" i="2"/>
  <c r="B186" i="3"/>
  <c r="D187" i="2"/>
  <c r="D186" i="3"/>
  <c r="F187" i="2"/>
  <c r="F186" i="3"/>
  <c r="E187" i="2"/>
  <c r="E186" i="3"/>
  <c r="C187" i="2"/>
  <c r="C186" i="3"/>
  <c r="G186" i="3" l="1"/>
  <c r="H186" i="3" s="1"/>
  <c r="B186" i="4" s="1"/>
  <c r="E188" i="2"/>
  <c r="E187" i="3"/>
  <c r="F188" i="2"/>
  <c r="F187" i="3"/>
  <c r="D188" i="2"/>
  <c r="D187" i="3"/>
  <c r="C188" i="2"/>
  <c r="C187" i="3"/>
  <c r="B188" i="2"/>
  <c r="B187" i="3"/>
  <c r="G187" i="3" l="1"/>
  <c r="H187" i="3" s="1"/>
  <c r="B187" i="4" s="1"/>
  <c r="B189" i="2"/>
  <c r="B188" i="3"/>
  <c r="C189" i="2"/>
  <c r="C188" i="3"/>
  <c r="F189" i="2"/>
  <c r="F188" i="3"/>
  <c r="E189" i="2"/>
  <c r="E188" i="3"/>
  <c r="D189" i="2"/>
  <c r="D188" i="3"/>
  <c r="G188" i="3" l="1"/>
  <c r="H188" i="3" s="1"/>
  <c r="B188" i="4" s="1"/>
  <c r="E190" i="2"/>
  <c r="E189" i="3"/>
  <c r="C190" i="2"/>
  <c r="C189" i="3"/>
  <c r="F190" i="2"/>
  <c r="F189" i="3"/>
  <c r="D190" i="2"/>
  <c r="D189" i="3"/>
  <c r="B190" i="2"/>
  <c r="B189" i="3"/>
  <c r="G189" i="3" l="1"/>
  <c r="H189" i="3" s="1"/>
  <c r="B189" i="4" s="1"/>
  <c r="D191" i="2"/>
  <c r="D190" i="3"/>
  <c r="C191" i="2"/>
  <c r="C190" i="3"/>
  <c r="F191" i="2"/>
  <c r="F190" i="3"/>
  <c r="B191" i="2"/>
  <c r="B190" i="3"/>
  <c r="E191" i="2"/>
  <c r="E190" i="3"/>
  <c r="G190" i="3" l="1"/>
  <c r="H190" i="3" s="1"/>
  <c r="B190" i="4" s="1"/>
  <c r="C192" i="2"/>
  <c r="C191" i="3"/>
  <c r="B192" i="2"/>
  <c r="B191" i="3"/>
  <c r="F192" i="2"/>
  <c r="F191" i="3"/>
  <c r="E192" i="2"/>
  <c r="E191" i="3"/>
  <c r="D192" i="2"/>
  <c r="D191" i="3"/>
  <c r="G191" i="3" l="1"/>
  <c r="H191" i="3" s="1"/>
  <c r="B191" i="4" s="1"/>
  <c r="E193" i="2"/>
  <c r="E192" i="3"/>
  <c r="F193" i="2"/>
  <c r="F192" i="3"/>
  <c r="B193" i="2"/>
  <c r="B192" i="3"/>
  <c r="D193" i="2"/>
  <c r="D192" i="3"/>
  <c r="C193" i="2"/>
  <c r="C192" i="3"/>
  <c r="G192" i="3" l="1"/>
  <c r="H192" i="3" s="1"/>
  <c r="B192" i="4" s="1"/>
  <c r="D194" i="2"/>
  <c r="D193" i="3"/>
  <c r="F194" i="2"/>
  <c r="F193" i="3"/>
  <c r="B194" i="2"/>
  <c r="B193" i="3"/>
  <c r="C194" i="2"/>
  <c r="C193" i="3"/>
  <c r="E194" i="2"/>
  <c r="E193" i="3"/>
  <c r="G193" i="3" l="1"/>
  <c r="H193" i="3" s="1"/>
  <c r="B193" i="4" s="1"/>
  <c r="B195" i="2"/>
  <c r="B194" i="3"/>
  <c r="C195" i="2"/>
  <c r="C194" i="3"/>
  <c r="F195" i="2"/>
  <c r="F194" i="3"/>
  <c r="E195" i="2"/>
  <c r="E194" i="3"/>
  <c r="D195" i="2"/>
  <c r="D194" i="3"/>
  <c r="G194" i="3" l="1"/>
  <c r="H194" i="3" s="1"/>
  <c r="B194" i="4" s="1"/>
  <c r="F196" i="2"/>
  <c r="F195" i="3"/>
  <c r="E196" i="2"/>
  <c r="E195" i="3"/>
  <c r="C196" i="2"/>
  <c r="C195" i="3"/>
  <c r="D196" i="2"/>
  <c r="D195" i="3"/>
  <c r="B196" i="2"/>
  <c r="B195" i="3"/>
  <c r="G195" i="3" l="1"/>
  <c r="H195" i="3" s="1"/>
  <c r="B195" i="4" s="1"/>
  <c r="C197" i="2"/>
  <c r="C196" i="3"/>
  <c r="D197" i="2"/>
  <c r="D196" i="3"/>
  <c r="E197" i="2"/>
  <c r="E196" i="3"/>
  <c r="B197" i="2"/>
  <c r="B196" i="3"/>
  <c r="F197" i="2"/>
  <c r="F196" i="3"/>
  <c r="G196" i="3" l="1"/>
  <c r="H196" i="3" s="1"/>
  <c r="B196" i="4" s="1"/>
  <c r="B198" i="2"/>
  <c r="B197" i="3"/>
  <c r="E198" i="2"/>
  <c r="E197" i="3"/>
  <c r="D198" i="2"/>
  <c r="D197" i="3"/>
  <c r="F198" i="2"/>
  <c r="F197" i="3"/>
  <c r="C198" i="2"/>
  <c r="C197" i="3"/>
  <c r="G197" i="3" l="1"/>
  <c r="H197" i="3" s="1"/>
  <c r="B197" i="4" s="1"/>
  <c r="D199" i="2"/>
  <c r="D198" i="3"/>
  <c r="E199" i="2"/>
  <c r="E198" i="3"/>
  <c r="F199" i="2"/>
  <c r="F198" i="3"/>
  <c r="C199" i="2"/>
  <c r="C198" i="3"/>
  <c r="B199" i="2"/>
  <c r="B198" i="3"/>
  <c r="G198" i="3" l="1"/>
  <c r="H198" i="3" s="1"/>
  <c r="B198" i="4" s="1"/>
  <c r="C200" i="2"/>
  <c r="C199" i="3"/>
  <c r="F200" i="2"/>
  <c r="F199" i="3"/>
  <c r="E200" i="2"/>
  <c r="E199" i="3"/>
  <c r="B200" i="2"/>
  <c r="B199" i="3"/>
  <c r="D200" i="2"/>
  <c r="D199" i="3"/>
  <c r="G199" i="3" l="1"/>
  <c r="H199" i="3" s="1"/>
  <c r="B199" i="4" s="1"/>
  <c r="E201" i="2"/>
  <c r="E200" i="3"/>
  <c r="F201" i="2"/>
  <c r="F200" i="3"/>
  <c r="B201" i="2"/>
  <c r="B200" i="3"/>
  <c r="D201" i="2"/>
  <c r="D200" i="3"/>
  <c r="C201" i="2"/>
  <c r="C200" i="3"/>
  <c r="G200" i="3" l="1"/>
  <c r="H200" i="3" s="1"/>
  <c r="B200" i="4" s="1"/>
  <c r="D202" i="2"/>
  <c r="D201" i="3"/>
  <c r="B202" i="2"/>
  <c r="B201" i="3"/>
  <c r="F202" i="2"/>
  <c r="F201" i="3"/>
  <c r="C202" i="2"/>
  <c r="C201" i="3"/>
  <c r="E202" i="2"/>
  <c r="E201" i="3"/>
  <c r="G201" i="3" l="1"/>
  <c r="H201" i="3" s="1"/>
  <c r="B201" i="4" s="1"/>
  <c r="C203" i="2"/>
  <c r="C202" i="3"/>
  <c r="F203" i="2"/>
  <c r="F202" i="3"/>
  <c r="B203" i="2"/>
  <c r="B202" i="3"/>
  <c r="E203" i="2"/>
  <c r="E202" i="3"/>
  <c r="D203" i="2"/>
  <c r="D202" i="3"/>
  <c r="G202" i="3" l="1"/>
  <c r="H202" i="3" s="1"/>
  <c r="B202" i="4" s="1"/>
  <c r="E204" i="2"/>
  <c r="E203" i="3"/>
  <c r="F204" i="2"/>
  <c r="F203" i="3"/>
  <c r="B204" i="2"/>
  <c r="B203" i="3"/>
  <c r="D204" i="2"/>
  <c r="D203" i="3"/>
  <c r="C204" i="2"/>
  <c r="C203" i="3"/>
  <c r="G203" i="3" l="1"/>
  <c r="H203" i="3" s="1"/>
  <c r="B203" i="4" s="1"/>
  <c r="D205" i="2"/>
  <c r="D204" i="3"/>
  <c r="F205" i="2"/>
  <c r="F204" i="3"/>
  <c r="B205" i="2"/>
  <c r="B204" i="3"/>
  <c r="C205" i="2"/>
  <c r="C204" i="3"/>
  <c r="E205" i="2"/>
  <c r="E204" i="3"/>
  <c r="G204" i="3" l="1"/>
  <c r="H204" i="3" s="1"/>
  <c r="B204" i="4" s="1"/>
  <c r="C206" i="2"/>
  <c r="C205" i="3"/>
  <c r="B206" i="2"/>
  <c r="B205" i="3"/>
  <c r="F206" i="2"/>
  <c r="F205" i="3"/>
  <c r="E206" i="2"/>
  <c r="E205" i="3"/>
  <c r="D206" i="2"/>
  <c r="D205" i="3"/>
  <c r="G205" i="3" l="1"/>
  <c r="H205" i="3" s="1"/>
  <c r="B205" i="4" s="1"/>
  <c r="E207" i="2"/>
  <c r="E206" i="3"/>
  <c r="F207" i="2"/>
  <c r="F206" i="3"/>
  <c r="B207" i="2"/>
  <c r="B206" i="3"/>
  <c r="D207" i="2"/>
  <c r="D206" i="3"/>
  <c r="C207" i="2"/>
  <c r="C206" i="3"/>
  <c r="G206" i="3" l="1"/>
  <c r="H206" i="3" s="1"/>
  <c r="B206" i="4" s="1"/>
  <c r="B208" i="2"/>
  <c r="B207" i="3"/>
  <c r="F208" i="2"/>
  <c r="F207" i="3"/>
  <c r="D208" i="2"/>
  <c r="D207" i="3"/>
  <c r="C208" i="2"/>
  <c r="C207" i="3"/>
  <c r="E208" i="2"/>
  <c r="E207" i="3"/>
  <c r="G207" i="3" l="1"/>
  <c r="H207" i="3" s="1"/>
  <c r="B207" i="4" s="1"/>
  <c r="D209" i="2"/>
  <c r="D208" i="3"/>
  <c r="F209" i="2"/>
  <c r="F208" i="3"/>
  <c r="C209" i="2"/>
  <c r="C208" i="3"/>
  <c r="E209" i="2"/>
  <c r="E208" i="3"/>
  <c r="B209" i="2"/>
  <c r="B208" i="3"/>
  <c r="G208" i="3" l="1"/>
  <c r="H208" i="3" s="1"/>
  <c r="B208" i="4" s="1"/>
  <c r="E210" i="2"/>
  <c r="E209" i="3"/>
  <c r="C210" i="2"/>
  <c r="C209" i="3"/>
  <c r="F210" i="2"/>
  <c r="F209" i="3"/>
  <c r="B210" i="2"/>
  <c r="B209" i="3"/>
  <c r="D210" i="2"/>
  <c r="D209" i="3"/>
  <c r="G209" i="3" l="1"/>
  <c r="H209" i="3" s="1"/>
  <c r="B209" i="4" s="1"/>
  <c r="F211" i="2"/>
  <c r="F210" i="3"/>
  <c r="C211" i="2"/>
  <c r="C210" i="3"/>
  <c r="B211" i="2"/>
  <c r="B210" i="3"/>
  <c r="D211" i="2"/>
  <c r="D210" i="3"/>
  <c r="E211" i="2"/>
  <c r="E210" i="3"/>
  <c r="G210" i="3" l="1"/>
  <c r="H210" i="3" s="1"/>
  <c r="B210" i="4" s="1"/>
  <c r="B212" i="2"/>
  <c r="B211" i="3"/>
  <c r="E212" i="2"/>
  <c r="E211" i="3"/>
  <c r="D212" i="2"/>
  <c r="D211" i="3"/>
  <c r="C212" i="2"/>
  <c r="C211" i="3"/>
  <c r="F212" i="2"/>
  <c r="F211" i="3"/>
  <c r="G211" i="3" l="1"/>
  <c r="H211" i="3" s="1"/>
  <c r="B211" i="4" s="1"/>
  <c r="C213" i="2"/>
  <c r="C212" i="3"/>
  <c r="E213" i="2"/>
  <c r="E212" i="3"/>
  <c r="D213" i="2"/>
  <c r="D212" i="3"/>
  <c r="F213" i="2"/>
  <c r="F212" i="3"/>
  <c r="B213" i="2"/>
  <c r="B212" i="3"/>
  <c r="G212" i="3" l="1"/>
  <c r="H212" i="3" s="1"/>
  <c r="B212" i="4" s="1"/>
  <c r="E214" i="2"/>
  <c r="E213" i="3"/>
  <c r="F214" i="2"/>
  <c r="F213" i="3"/>
  <c r="D214" i="2"/>
  <c r="D213" i="3"/>
  <c r="B214" i="2"/>
  <c r="B213" i="3"/>
  <c r="C214" i="2"/>
  <c r="C213" i="3"/>
  <c r="G213" i="3" l="1"/>
  <c r="H213" i="3" s="1"/>
  <c r="B213" i="4" s="1"/>
  <c r="D215" i="2"/>
  <c r="D214" i="3"/>
  <c r="B215" i="2"/>
  <c r="B214" i="3"/>
  <c r="F215" i="2"/>
  <c r="F214" i="3"/>
  <c r="C215" i="2"/>
  <c r="C214" i="3"/>
  <c r="E215" i="2"/>
  <c r="E214" i="3"/>
  <c r="G214" i="3" l="1"/>
  <c r="H214" i="3" s="1"/>
  <c r="B214" i="4" s="1"/>
  <c r="F216" i="2"/>
  <c r="F215" i="3"/>
  <c r="C216" i="2"/>
  <c r="C215" i="3"/>
  <c r="B216" i="2"/>
  <c r="B215" i="3"/>
  <c r="E216" i="2"/>
  <c r="E215" i="3"/>
  <c r="D216" i="2"/>
  <c r="D215" i="3"/>
  <c r="G215" i="3" l="1"/>
  <c r="H215" i="3" s="1"/>
  <c r="B215" i="4" s="1"/>
  <c r="B217" i="2"/>
  <c r="B216" i="3"/>
  <c r="E217" i="2"/>
  <c r="E216" i="3"/>
  <c r="C217" i="2"/>
  <c r="C216" i="3"/>
  <c r="D217" i="2"/>
  <c r="D216" i="3"/>
  <c r="F217" i="2"/>
  <c r="F216" i="3"/>
  <c r="G216" i="3" l="1"/>
  <c r="H216" i="3" s="1"/>
  <c r="B216" i="4" s="1"/>
  <c r="C218" i="2"/>
  <c r="C217" i="3"/>
  <c r="D218" i="2"/>
  <c r="D217" i="3"/>
  <c r="E218" i="2"/>
  <c r="E217" i="3"/>
  <c r="F218" i="2"/>
  <c r="F217" i="3"/>
  <c r="B218" i="2"/>
  <c r="B217" i="3"/>
  <c r="G217" i="3" l="1"/>
  <c r="H217" i="3" s="1"/>
  <c r="B217" i="4" s="1"/>
  <c r="F219" i="2"/>
  <c r="F218" i="3"/>
  <c r="D219" i="2"/>
  <c r="D218" i="3"/>
  <c r="E219" i="2"/>
  <c r="E218" i="3"/>
  <c r="B219" i="2"/>
  <c r="B218" i="3"/>
  <c r="C219" i="2"/>
  <c r="C218" i="3"/>
  <c r="G218" i="3" l="1"/>
  <c r="H218" i="3" s="1"/>
  <c r="B218" i="4" s="1"/>
  <c r="E220" i="2"/>
  <c r="E219" i="3"/>
  <c r="B220" i="2"/>
  <c r="B219" i="3"/>
  <c r="D220" i="2"/>
  <c r="D219" i="3"/>
  <c r="C220" i="2"/>
  <c r="C219" i="3"/>
  <c r="F220" i="2"/>
  <c r="F219" i="3"/>
  <c r="G219" i="3" l="1"/>
  <c r="H219" i="3" s="1"/>
  <c r="B219" i="4" s="1"/>
  <c r="D221" i="2"/>
  <c r="D220" i="3"/>
  <c r="B221" i="2"/>
  <c r="B220" i="3"/>
  <c r="C221" i="2"/>
  <c r="C220" i="3"/>
  <c r="F221" i="2"/>
  <c r="F220" i="3"/>
  <c r="E221" i="2"/>
  <c r="E220" i="3"/>
  <c r="G220" i="3" l="1"/>
  <c r="H220" i="3" s="1"/>
  <c r="B220" i="4" s="1"/>
  <c r="C222" i="2"/>
  <c r="C221" i="3"/>
  <c r="F222" i="2"/>
  <c r="F221" i="3"/>
  <c r="B222" i="2"/>
  <c r="B221" i="3"/>
  <c r="E222" i="2"/>
  <c r="E221" i="3"/>
  <c r="D222" i="2"/>
  <c r="D221" i="3"/>
  <c r="G221" i="3" l="1"/>
  <c r="H221" i="3" s="1"/>
  <c r="B221" i="4" s="1"/>
  <c r="B223" i="2"/>
  <c r="B222" i="3"/>
  <c r="E223" i="2"/>
  <c r="E222" i="3"/>
  <c r="F223" i="2"/>
  <c r="F222" i="3"/>
  <c r="D223" i="2"/>
  <c r="D222" i="3"/>
  <c r="C223" i="2"/>
  <c r="C222" i="3"/>
  <c r="G222" i="3" l="1"/>
  <c r="H222" i="3" s="1"/>
  <c r="B222" i="4" s="1"/>
  <c r="D224" i="2"/>
  <c r="D223" i="3"/>
  <c r="F224" i="2"/>
  <c r="F223" i="3"/>
  <c r="E224" i="2"/>
  <c r="E223" i="3"/>
  <c r="C224" i="2"/>
  <c r="C223" i="3"/>
  <c r="B224" i="2"/>
  <c r="B223" i="3"/>
  <c r="G223" i="3" l="1"/>
  <c r="H223" i="3" s="1"/>
  <c r="B223" i="4" s="1"/>
  <c r="E225" i="2"/>
  <c r="E224" i="3"/>
  <c r="C225" i="2"/>
  <c r="C224" i="3"/>
  <c r="F225" i="2"/>
  <c r="F224" i="3"/>
  <c r="B225" i="2"/>
  <c r="B224" i="3"/>
  <c r="D225" i="2"/>
  <c r="D224" i="3"/>
  <c r="G224" i="3" l="1"/>
  <c r="H224" i="3" s="1"/>
  <c r="B224" i="4" s="1"/>
  <c r="F226" i="2"/>
  <c r="F225" i="3"/>
  <c r="B226" i="2"/>
  <c r="B225" i="3"/>
  <c r="C226" i="2"/>
  <c r="C225" i="3"/>
  <c r="D226" i="2"/>
  <c r="D225" i="3"/>
  <c r="E226" i="2"/>
  <c r="E225" i="3"/>
  <c r="G225" i="3" l="1"/>
  <c r="H225" i="3" s="1"/>
  <c r="B225" i="4" s="1"/>
  <c r="D227" i="2"/>
  <c r="D226" i="3"/>
  <c r="B227" i="2"/>
  <c r="B226" i="3"/>
  <c r="C227" i="2"/>
  <c r="C226" i="3"/>
  <c r="E227" i="2"/>
  <c r="E226" i="3"/>
  <c r="F227" i="2"/>
  <c r="F226" i="3"/>
  <c r="G226" i="3" l="1"/>
  <c r="H226" i="3" s="1"/>
  <c r="B226" i="4" s="1"/>
  <c r="C228" i="2"/>
  <c r="C227" i="3"/>
  <c r="E228" i="2"/>
  <c r="E227" i="3"/>
  <c r="B228" i="2"/>
  <c r="B227" i="3"/>
  <c r="F228" i="2"/>
  <c r="F227" i="3"/>
  <c r="D228" i="2"/>
  <c r="D227" i="3"/>
  <c r="G227" i="3" l="1"/>
  <c r="H227" i="3" s="1"/>
  <c r="B227" i="4" s="1"/>
  <c r="F229" i="2"/>
  <c r="F228" i="3"/>
  <c r="B229" i="2"/>
  <c r="B228" i="3"/>
  <c r="E229" i="2"/>
  <c r="E228" i="3"/>
  <c r="D229" i="2"/>
  <c r="D228" i="3"/>
  <c r="C229" i="2"/>
  <c r="C228" i="3"/>
  <c r="G228" i="3" l="1"/>
  <c r="H228" i="3" s="1"/>
  <c r="B228" i="4" s="1"/>
  <c r="D230" i="2"/>
  <c r="D229" i="3"/>
  <c r="E230" i="2"/>
  <c r="E229" i="3"/>
  <c r="B230" i="2"/>
  <c r="B229" i="3"/>
  <c r="C230" i="2"/>
  <c r="C229" i="3"/>
  <c r="F230" i="2"/>
  <c r="F229" i="3"/>
  <c r="G229" i="3" l="1"/>
  <c r="H229" i="3" s="1"/>
  <c r="B229" i="4" s="1"/>
  <c r="B231" i="2"/>
  <c r="B230" i="3"/>
  <c r="C231" i="2"/>
  <c r="C230" i="3"/>
  <c r="E231" i="2"/>
  <c r="E230" i="3"/>
  <c r="F231" i="2"/>
  <c r="F230" i="3"/>
  <c r="D231" i="2"/>
  <c r="D230" i="3"/>
  <c r="G230" i="3" l="1"/>
  <c r="H230" i="3" s="1"/>
  <c r="B230" i="4" s="1"/>
  <c r="E232" i="2"/>
  <c r="E231" i="3"/>
  <c r="F232" i="2"/>
  <c r="F231" i="3"/>
  <c r="C232" i="2"/>
  <c r="C231" i="3"/>
  <c r="D232" i="2"/>
  <c r="D231" i="3"/>
  <c r="B232" i="2"/>
  <c r="B231" i="3"/>
  <c r="G231" i="3" l="1"/>
  <c r="H231" i="3" s="1"/>
  <c r="B231" i="4" s="1"/>
  <c r="C233" i="2"/>
  <c r="C232" i="3"/>
  <c r="D233" i="2"/>
  <c r="D232" i="3"/>
  <c r="F233" i="2"/>
  <c r="F232" i="3"/>
  <c r="B233" i="2"/>
  <c r="B232" i="3"/>
  <c r="E233" i="2"/>
  <c r="E232" i="3"/>
  <c r="G232" i="3" l="1"/>
  <c r="H232" i="3" s="1"/>
  <c r="B232" i="4" s="1"/>
  <c r="F234" i="2"/>
  <c r="F233" i="3"/>
  <c r="B234" i="2"/>
  <c r="B233" i="3"/>
  <c r="D234" i="2"/>
  <c r="D233" i="3"/>
  <c r="E234" i="2"/>
  <c r="E233" i="3"/>
  <c r="C234" i="2"/>
  <c r="C233" i="3"/>
  <c r="G233" i="3" l="1"/>
  <c r="H233" i="3" s="1"/>
  <c r="B233" i="4" s="1"/>
  <c r="D235" i="2"/>
  <c r="D234" i="3"/>
  <c r="E235" i="2"/>
  <c r="E234" i="3"/>
  <c r="B235" i="2"/>
  <c r="B234" i="3"/>
  <c r="C235" i="2"/>
  <c r="C234" i="3"/>
  <c r="F235" i="2"/>
  <c r="F234" i="3"/>
  <c r="G234" i="3" l="1"/>
  <c r="H234" i="3" s="1"/>
  <c r="B234" i="4" s="1"/>
  <c r="C236" i="2"/>
  <c r="C235" i="3"/>
  <c r="E236" i="2"/>
  <c r="E235" i="3"/>
  <c r="B236" i="2"/>
  <c r="B235" i="3"/>
  <c r="F236" i="2"/>
  <c r="F235" i="3"/>
  <c r="D236" i="2"/>
  <c r="D235" i="3"/>
  <c r="G235" i="3" l="1"/>
  <c r="H235" i="3" s="1"/>
  <c r="B235" i="4" s="1"/>
  <c r="F237" i="2"/>
  <c r="F236" i="3"/>
  <c r="E237" i="2"/>
  <c r="E236" i="3"/>
  <c r="B237" i="2"/>
  <c r="B236" i="3"/>
  <c r="D237" i="2"/>
  <c r="D236" i="3"/>
  <c r="C237" i="2"/>
  <c r="C236" i="3"/>
  <c r="G236" i="3" l="1"/>
  <c r="H236" i="3" s="1"/>
  <c r="B236" i="4" s="1"/>
  <c r="B238" i="2"/>
  <c r="B237" i="3"/>
  <c r="D238" i="2"/>
  <c r="D237" i="3"/>
  <c r="E238" i="2"/>
  <c r="E237" i="3"/>
  <c r="C238" i="2"/>
  <c r="C237" i="3"/>
  <c r="F238" i="2"/>
  <c r="F237" i="3"/>
  <c r="G237" i="3" l="1"/>
  <c r="H237" i="3" s="1"/>
  <c r="B237" i="4" s="1"/>
  <c r="E239" i="2"/>
  <c r="E238" i="3"/>
  <c r="C239" i="2"/>
  <c r="C238" i="3"/>
  <c r="D239" i="2"/>
  <c r="D238" i="3"/>
  <c r="F239" i="2"/>
  <c r="F238" i="3"/>
  <c r="B239" i="2"/>
  <c r="B238" i="3"/>
  <c r="G238" i="3" l="1"/>
  <c r="H238" i="3" s="1"/>
  <c r="B238" i="4" s="1"/>
  <c r="D240" i="2"/>
  <c r="D239" i="3"/>
  <c r="F240" i="2"/>
  <c r="F239" i="3"/>
  <c r="C240" i="2"/>
  <c r="C239" i="3"/>
  <c r="B240" i="2"/>
  <c r="B239" i="3"/>
  <c r="E240" i="2"/>
  <c r="E239" i="3"/>
  <c r="G239" i="3" l="1"/>
  <c r="H239" i="3" s="1"/>
  <c r="B239" i="4" s="1"/>
  <c r="C241" i="2"/>
  <c r="C240" i="3"/>
  <c r="B241" i="2"/>
  <c r="B240" i="3"/>
  <c r="F241" i="2"/>
  <c r="F240" i="3"/>
  <c r="E241" i="2"/>
  <c r="E240" i="3"/>
  <c r="D241" i="2"/>
  <c r="D240" i="3"/>
  <c r="G240" i="3" l="1"/>
  <c r="H240" i="3" s="1"/>
  <c r="B240" i="4" s="1"/>
  <c r="F242" i="2"/>
  <c r="F241" i="3"/>
  <c r="E242" i="2"/>
  <c r="E241" i="3"/>
  <c r="B242" i="2"/>
  <c r="B241" i="3"/>
  <c r="D242" i="2"/>
  <c r="D241" i="3"/>
  <c r="C242" i="2"/>
  <c r="C241" i="3"/>
  <c r="G241" i="3" l="1"/>
  <c r="H241" i="3" s="1"/>
  <c r="B241" i="4" s="1"/>
  <c r="B243" i="2"/>
  <c r="B242" i="3"/>
  <c r="D243" i="2"/>
  <c r="D242" i="3"/>
  <c r="E243" i="2"/>
  <c r="E242" i="3"/>
  <c r="C243" i="2"/>
  <c r="C242" i="3"/>
  <c r="F243" i="2"/>
  <c r="F242" i="3"/>
  <c r="G242" i="3" l="1"/>
  <c r="H242" i="3" s="1"/>
  <c r="B242" i="4" s="1"/>
  <c r="E244" i="2"/>
  <c r="E243" i="3"/>
  <c r="C244" i="2"/>
  <c r="C243" i="3"/>
  <c r="D244" i="2"/>
  <c r="D243" i="3"/>
  <c r="F244" i="2"/>
  <c r="F243" i="3"/>
  <c r="B244" i="2"/>
  <c r="B243" i="3"/>
  <c r="G243" i="3" l="1"/>
  <c r="H243" i="3" s="1"/>
  <c r="B243" i="4" s="1"/>
  <c r="D245" i="2"/>
  <c r="D244" i="3"/>
  <c r="F245" i="2"/>
  <c r="F244" i="3"/>
  <c r="C245" i="2"/>
  <c r="C244" i="3"/>
  <c r="B245" i="2"/>
  <c r="B244" i="3"/>
  <c r="E245" i="2"/>
  <c r="E244" i="3"/>
  <c r="G244" i="3" l="1"/>
  <c r="H244" i="3" s="1"/>
  <c r="B244" i="4" s="1"/>
  <c r="C246" i="2"/>
  <c r="C245" i="3"/>
  <c r="B246" i="2"/>
  <c r="B245" i="3"/>
  <c r="F246" i="2"/>
  <c r="F245" i="3"/>
  <c r="E246" i="2"/>
  <c r="E245" i="3"/>
  <c r="D246" i="2"/>
  <c r="D245" i="3"/>
  <c r="G245" i="3" l="1"/>
  <c r="H245" i="3" s="1"/>
  <c r="B245" i="4" s="1"/>
  <c r="F247" i="2"/>
  <c r="F246" i="3"/>
  <c r="E247" i="2"/>
  <c r="E246" i="3"/>
  <c r="B247" i="2"/>
  <c r="B246" i="3"/>
  <c r="D247" i="2"/>
  <c r="D246" i="3"/>
  <c r="C247" i="2"/>
  <c r="C246" i="3"/>
  <c r="G246" i="3" l="1"/>
  <c r="H246" i="3" s="1"/>
  <c r="B246" i="4" s="1"/>
  <c r="B248" i="2"/>
  <c r="B247" i="3"/>
  <c r="D248" i="2"/>
  <c r="D247" i="3"/>
  <c r="E248" i="2"/>
  <c r="E247" i="3"/>
  <c r="C248" i="2"/>
  <c r="C247" i="3"/>
  <c r="F248" i="2"/>
  <c r="F247" i="3"/>
  <c r="G247" i="3" l="1"/>
  <c r="H247" i="3" s="1"/>
  <c r="B247" i="4" s="1"/>
  <c r="C249" i="2"/>
  <c r="C248" i="3"/>
  <c r="E249" i="2"/>
  <c r="E248" i="3"/>
  <c r="D249" i="2"/>
  <c r="D248" i="3"/>
  <c r="F249" i="2"/>
  <c r="F248" i="3"/>
  <c r="B249" i="2"/>
  <c r="B248" i="3"/>
  <c r="G248" i="3" l="1"/>
  <c r="H248" i="3" s="1"/>
  <c r="B248" i="4" s="1"/>
  <c r="D250" i="2"/>
  <c r="D249" i="3"/>
  <c r="F250" i="2"/>
  <c r="F249" i="3"/>
  <c r="E250" i="2"/>
  <c r="E249" i="3"/>
  <c r="B250" i="2"/>
  <c r="B249" i="3"/>
  <c r="C250" i="2"/>
  <c r="C249" i="3"/>
  <c r="G249" i="3" l="1"/>
  <c r="H249" i="3" s="1"/>
  <c r="B249" i="4" s="1"/>
  <c r="B251" i="2"/>
  <c r="B250" i="3"/>
  <c r="E251" i="2"/>
  <c r="E250" i="3"/>
  <c r="F251" i="2"/>
  <c r="F250" i="3"/>
  <c r="C251" i="2"/>
  <c r="C250" i="3"/>
  <c r="D251" i="2"/>
  <c r="D250" i="3"/>
  <c r="G250" i="3" l="1"/>
  <c r="H250" i="3" s="1"/>
  <c r="B250" i="4" s="1"/>
  <c r="C252" i="2"/>
  <c r="C251" i="3"/>
  <c r="F252" i="2"/>
  <c r="F251" i="3"/>
  <c r="E252" i="2"/>
  <c r="E251" i="3"/>
  <c r="D252" i="2"/>
  <c r="D251" i="3"/>
  <c r="B252" i="2"/>
  <c r="B251" i="3"/>
  <c r="G251" i="3" l="1"/>
  <c r="H251" i="3" s="1"/>
  <c r="B251" i="4" s="1"/>
  <c r="D253" i="2"/>
  <c r="D253" i="3" s="1"/>
  <c r="D252" i="3"/>
  <c r="F253" i="2"/>
  <c r="F253" i="3" s="1"/>
  <c r="F252" i="3"/>
  <c r="E253" i="2"/>
  <c r="E253" i="3" s="1"/>
  <c r="E252" i="3"/>
  <c r="B253" i="2"/>
  <c r="B253" i="3" s="1"/>
  <c r="B252" i="3"/>
  <c r="C253" i="2"/>
  <c r="C253" i="3" s="1"/>
  <c r="C252" i="3"/>
  <c r="G253" i="3" l="1"/>
  <c r="H253" i="3" s="1"/>
  <c r="B253" i="4" s="1"/>
  <c r="G252" i="3"/>
  <c r="H252" i="3" s="1"/>
  <c r="B252" i="4" s="1"/>
</calcChain>
</file>

<file path=xl/sharedStrings.xml><?xml version="1.0" encoding="utf-8"?>
<sst xmlns="http://schemas.openxmlformats.org/spreadsheetml/2006/main" count="32" uniqueCount="21">
  <si>
    <t>종목명</t>
    <phoneticPr fontId="1" type="noConversion"/>
  </si>
  <si>
    <t>상장주식수</t>
    <phoneticPr fontId="1" type="noConversion"/>
  </si>
  <si>
    <t>유동비율</t>
    <phoneticPr fontId="1" type="noConversion"/>
  </si>
  <si>
    <t>A전자</t>
    <phoneticPr fontId="1" type="noConversion"/>
  </si>
  <si>
    <t>B건설</t>
    <phoneticPr fontId="1" type="noConversion"/>
  </si>
  <si>
    <t>C증권</t>
    <phoneticPr fontId="1" type="noConversion"/>
  </si>
  <si>
    <t>D화학</t>
    <phoneticPr fontId="1" type="noConversion"/>
  </si>
  <si>
    <t>E엔터</t>
    <phoneticPr fontId="1" type="noConversion"/>
  </si>
  <si>
    <t>일자</t>
    <phoneticPr fontId="1" type="noConversion"/>
  </si>
  <si>
    <t>합계</t>
    <phoneticPr fontId="1" type="noConversion"/>
  </si>
  <si>
    <t>지수</t>
    <phoneticPr fontId="1" type="noConversion"/>
  </si>
  <si>
    <t>지수</t>
    <phoneticPr fontId="1" type="noConversion"/>
  </si>
  <si>
    <t>일자</t>
    <phoneticPr fontId="1" type="noConversion"/>
  </si>
  <si>
    <t>선물이론가(1분기)</t>
    <phoneticPr fontId="1" type="noConversion"/>
  </si>
  <si>
    <t>배당률</t>
    <phoneticPr fontId="1" type="noConversion"/>
  </si>
  <si>
    <t>이자율</t>
    <phoneticPr fontId="1" type="noConversion"/>
  </si>
  <si>
    <t>만기(1분기)</t>
    <phoneticPr fontId="1" type="noConversion"/>
  </si>
  <si>
    <t>만기(분기)</t>
    <phoneticPr fontId="1" type="noConversion"/>
  </si>
  <si>
    <t>KOSPI200 평균 배당률</t>
    <phoneticPr fontId="1" type="noConversion"/>
  </si>
  <si>
    <t>기준 국고채 금리(무위험이자율)</t>
    <phoneticPr fontId="1" type="noConversion"/>
  </si>
  <si>
    <t>선물이론가(2분기)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</si>
</sst>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76" formatCode="#,##0_ "/>
    <numFmt numFmtId="177" formatCode="#,##0_);[Red]\(#,##0\)"/>
    <numFmt numFmtId="178" formatCode="#,##0.00_);[Red]\(#,##0.00\)"/>
    <numFmt numFmtId="179" formatCode="0.00_ "/>
  </numFmts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178" fontId="0" fillId="0" borderId="0" xfId="0" applyNumberFormat="1">
      <alignment vertical="center"/>
    </xf>
    <xf numFmtId="0" fontId="0" fillId="0" borderId="1" xfId="0" applyBorder="1">
      <alignment vertical="center"/>
    </xf>
    <xf numFmtId="10" fontId="0" fillId="0" borderId="0" xfId="0" applyNumberFormat="1">
      <alignment vertical="center"/>
    </xf>
    <xf numFmtId="179" fontId="0" fillId="0" borderId="1" xfId="0" applyNumberFormat="1" applyBorder="1" applyAlignment="1">
      <alignment horizontal="center" vertical="center"/>
    </xf>
    <xf numFmtId="10" fontId="0" fillId="0" borderId="1" xfId="0" applyNumberFormat="1" applyBorder="1">
      <alignment vertical="center"/>
    </xf>
    <xf numFmtId="179" fontId="0" fillId="2" borderId="1" xfId="0" applyNumberFormat="1" applyFill="1" applyBorder="1" applyAlignment="1">
      <alignment horizontal="center" vertical="center"/>
    </xf>
    <xf numFmtId="179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/>
              <a:t>주가 지수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'일자별 시가총액'!$H$2:$H$253</c:f>
              <c:numCache>
                <c:formatCode>#,##0.00_);[Red]\(#,##0.00\)</c:formatCode>
                <c:ptCount val="252"/>
                <c:pt idx="0">
                  <c:v>100</c:v>
                </c:pt>
                <c:pt idx="1">
                  <c:v>99.645444176706832</c:v>
                </c:pt>
                <c:pt idx="2">
                  <c:v>99.758011244979912</c:v>
                </c:pt>
                <c:pt idx="3">
                  <c:v>101.89657349397589</c:v>
                </c:pt>
                <c:pt idx="4">
                  <c:v>103.44237751004015</c:v>
                </c:pt>
                <c:pt idx="5">
                  <c:v>102.12384578313254</c:v>
                </c:pt>
                <c:pt idx="6">
                  <c:v>102.15116947791165</c:v>
                </c:pt>
                <c:pt idx="7">
                  <c:v>100.52402248995985</c:v>
                </c:pt>
                <c:pt idx="8">
                  <c:v>100.15721927710844</c:v>
                </c:pt>
                <c:pt idx="9">
                  <c:v>98.992364658634528</c:v>
                </c:pt>
                <c:pt idx="10">
                  <c:v>98.431195180722895</c:v>
                </c:pt>
                <c:pt idx="11">
                  <c:v>98.538009638554215</c:v>
                </c:pt>
                <c:pt idx="12">
                  <c:v>96.870856224899597</c:v>
                </c:pt>
                <c:pt idx="13">
                  <c:v>96.925280321285143</c:v>
                </c:pt>
                <c:pt idx="14">
                  <c:v>95.949892369477908</c:v>
                </c:pt>
                <c:pt idx="15">
                  <c:v>96.710260240963848</c:v>
                </c:pt>
                <c:pt idx="16">
                  <c:v>95.852923694779108</c:v>
                </c:pt>
                <c:pt idx="17">
                  <c:v>95.973987148594375</c:v>
                </c:pt>
                <c:pt idx="18">
                  <c:v>97.003408835341361</c:v>
                </c:pt>
                <c:pt idx="19">
                  <c:v>98.112615261044184</c:v>
                </c:pt>
                <c:pt idx="20">
                  <c:v>98.429744578313247</c:v>
                </c:pt>
                <c:pt idx="21">
                  <c:v>98.326578313253009</c:v>
                </c:pt>
                <c:pt idx="22">
                  <c:v>99.715892369477913</c:v>
                </c:pt>
                <c:pt idx="23">
                  <c:v>98.998297188755018</c:v>
                </c:pt>
                <c:pt idx="24">
                  <c:v>99.469828112449804</c:v>
                </c:pt>
                <c:pt idx="25">
                  <c:v>99.010706827309235</c:v>
                </c:pt>
                <c:pt idx="26">
                  <c:v>98.79968192771085</c:v>
                </c:pt>
                <c:pt idx="27">
                  <c:v>99.638636144578314</c:v>
                </c:pt>
                <c:pt idx="28">
                  <c:v>100.64045943775099</c:v>
                </c:pt>
                <c:pt idx="29">
                  <c:v>100.22661365461846</c:v>
                </c:pt>
                <c:pt idx="30">
                  <c:v>100.09027469879518</c:v>
                </c:pt>
                <c:pt idx="31">
                  <c:v>98.575784738955818</c:v>
                </c:pt>
                <c:pt idx="32">
                  <c:v>98.85418313253011</c:v>
                </c:pt>
                <c:pt idx="33">
                  <c:v>99.761151807228927</c:v>
                </c:pt>
                <c:pt idx="34">
                  <c:v>100.75092208835341</c:v>
                </c:pt>
                <c:pt idx="35">
                  <c:v>100.52245461847389</c:v>
                </c:pt>
                <c:pt idx="36">
                  <c:v>100.09918714859438</c:v>
                </c:pt>
                <c:pt idx="37">
                  <c:v>98.294562248995987</c:v>
                </c:pt>
                <c:pt idx="38">
                  <c:v>96.30014136546184</c:v>
                </c:pt>
                <c:pt idx="39">
                  <c:v>95.806477108433725</c:v>
                </c:pt>
                <c:pt idx="40">
                  <c:v>96.612408032128513</c:v>
                </c:pt>
                <c:pt idx="41">
                  <c:v>97.094077108433723</c:v>
                </c:pt>
                <c:pt idx="42">
                  <c:v>96.541543775100408</c:v>
                </c:pt>
                <c:pt idx="43">
                  <c:v>96.931982329317265</c:v>
                </c:pt>
                <c:pt idx="44">
                  <c:v>96.797902008032139</c:v>
                </c:pt>
                <c:pt idx="45">
                  <c:v>97.583636947791163</c:v>
                </c:pt>
                <c:pt idx="46">
                  <c:v>98.189167871485935</c:v>
                </c:pt>
                <c:pt idx="47">
                  <c:v>97.826477108433735</c:v>
                </c:pt>
                <c:pt idx="48">
                  <c:v>97.735768674698804</c:v>
                </c:pt>
                <c:pt idx="49">
                  <c:v>97.476157429718882</c:v>
                </c:pt>
                <c:pt idx="50">
                  <c:v>96.568620080321281</c:v>
                </c:pt>
                <c:pt idx="51">
                  <c:v>94.881661044176695</c:v>
                </c:pt>
                <c:pt idx="52">
                  <c:v>96.531885943775094</c:v>
                </c:pt>
                <c:pt idx="53">
                  <c:v>95.438414457831328</c:v>
                </c:pt>
                <c:pt idx="54">
                  <c:v>95.97067791164659</c:v>
                </c:pt>
                <c:pt idx="55">
                  <c:v>95.307553413654617</c:v>
                </c:pt>
                <c:pt idx="56">
                  <c:v>95.809628915662643</c:v>
                </c:pt>
                <c:pt idx="57">
                  <c:v>96.032072289156616</c:v>
                </c:pt>
                <c:pt idx="58">
                  <c:v>95.635418473895584</c:v>
                </c:pt>
                <c:pt idx="59">
                  <c:v>96.415212851405613</c:v>
                </c:pt>
                <c:pt idx="60">
                  <c:v>96.00556465863454</c:v>
                </c:pt>
                <c:pt idx="61">
                  <c:v>95.822780722891565</c:v>
                </c:pt>
                <c:pt idx="62">
                  <c:v>96.382226506024097</c:v>
                </c:pt>
                <c:pt idx="63">
                  <c:v>97.061113253012039</c:v>
                </c:pt>
                <c:pt idx="64">
                  <c:v>96.275045783132526</c:v>
                </c:pt>
                <c:pt idx="65">
                  <c:v>95.590237751004011</c:v>
                </c:pt>
                <c:pt idx="66">
                  <c:v>96.617545381526099</c:v>
                </c:pt>
                <c:pt idx="67">
                  <c:v>96.4779437751004</c:v>
                </c:pt>
                <c:pt idx="68">
                  <c:v>97.522941365461847</c:v>
                </c:pt>
                <c:pt idx="69">
                  <c:v>97.345959839357434</c:v>
                </c:pt>
                <c:pt idx="70">
                  <c:v>97.700584738955826</c:v>
                </c:pt>
                <c:pt idx="71">
                  <c:v>98.424499598393581</c:v>
                </c:pt>
                <c:pt idx="72">
                  <c:v>98.388788755020087</c:v>
                </c:pt>
                <c:pt idx="73">
                  <c:v>100.12946506024096</c:v>
                </c:pt>
                <c:pt idx="74">
                  <c:v>100.26805140562249</c:v>
                </c:pt>
                <c:pt idx="75">
                  <c:v>100.17585542168675</c:v>
                </c:pt>
                <c:pt idx="76">
                  <c:v>100.73073253012048</c:v>
                </c:pt>
                <c:pt idx="77">
                  <c:v>101.70924016064258</c:v>
                </c:pt>
                <c:pt idx="78">
                  <c:v>100.60015742971888</c:v>
                </c:pt>
                <c:pt idx="79">
                  <c:v>100.17970602409638</c:v>
                </c:pt>
                <c:pt idx="80">
                  <c:v>100.29968995983936</c:v>
                </c:pt>
                <c:pt idx="81">
                  <c:v>99.801021686746992</c:v>
                </c:pt>
                <c:pt idx="82">
                  <c:v>98.804212048192781</c:v>
                </c:pt>
                <c:pt idx="83">
                  <c:v>99.199042570281122</c:v>
                </c:pt>
                <c:pt idx="84">
                  <c:v>97.790165461847394</c:v>
                </c:pt>
                <c:pt idx="85">
                  <c:v>98.231974297188756</c:v>
                </c:pt>
                <c:pt idx="86">
                  <c:v>99.568682730923697</c:v>
                </c:pt>
                <c:pt idx="87">
                  <c:v>101.70002891566266</c:v>
                </c:pt>
                <c:pt idx="88">
                  <c:v>101.79689156626506</c:v>
                </c:pt>
                <c:pt idx="89">
                  <c:v>102.11428273092369</c:v>
                </c:pt>
                <c:pt idx="90">
                  <c:v>101.45927228915663</c:v>
                </c:pt>
                <c:pt idx="91">
                  <c:v>99.738030522088351</c:v>
                </c:pt>
                <c:pt idx="92">
                  <c:v>99.927034538152611</c:v>
                </c:pt>
                <c:pt idx="93">
                  <c:v>101.46598232931727</c:v>
                </c:pt>
                <c:pt idx="94">
                  <c:v>103.01241124497993</c:v>
                </c:pt>
                <c:pt idx="95">
                  <c:v>101.77891887550201</c:v>
                </c:pt>
                <c:pt idx="96">
                  <c:v>102.0971983935743</c:v>
                </c:pt>
                <c:pt idx="97">
                  <c:v>102.01386987951808</c:v>
                </c:pt>
                <c:pt idx="98">
                  <c:v>102.25421686746986</c:v>
                </c:pt>
                <c:pt idx="99">
                  <c:v>102.50072931726908</c:v>
                </c:pt>
                <c:pt idx="100">
                  <c:v>102.0529172690763</c:v>
                </c:pt>
                <c:pt idx="101">
                  <c:v>103.12964979919678</c:v>
                </c:pt>
                <c:pt idx="102">
                  <c:v>103.8705718875502</c:v>
                </c:pt>
                <c:pt idx="103">
                  <c:v>103.06700080321285</c:v>
                </c:pt>
                <c:pt idx="104">
                  <c:v>101.63543935742972</c:v>
                </c:pt>
                <c:pt idx="105">
                  <c:v>103.76476465863453</c:v>
                </c:pt>
                <c:pt idx="106">
                  <c:v>103.77724658634537</c:v>
                </c:pt>
                <c:pt idx="107">
                  <c:v>103.46413172690762</c:v>
                </c:pt>
                <c:pt idx="108">
                  <c:v>103.32000321285139</c:v>
                </c:pt>
                <c:pt idx="109">
                  <c:v>102.90592289156626</c:v>
                </c:pt>
                <c:pt idx="110">
                  <c:v>103.12453975903615</c:v>
                </c:pt>
                <c:pt idx="111">
                  <c:v>102.35704738955825</c:v>
                </c:pt>
                <c:pt idx="112">
                  <c:v>101.82270361445782</c:v>
                </c:pt>
                <c:pt idx="113">
                  <c:v>101.68300240963855</c:v>
                </c:pt>
                <c:pt idx="114">
                  <c:v>102.12586506024097</c:v>
                </c:pt>
                <c:pt idx="115">
                  <c:v>104.25338152610442</c:v>
                </c:pt>
                <c:pt idx="116">
                  <c:v>103.78048995983934</c:v>
                </c:pt>
                <c:pt idx="117">
                  <c:v>105.29058795180724</c:v>
                </c:pt>
                <c:pt idx="118">
                  <c:v>105.82913895582328</c:v>
                </c:pt>
                <c:pt idx="119">
                  <c:v>107.14219598393575</c:v>
                </c:pt>
                <c:pt idx="120">
                  <c:v>107.08513413654619</c:v>
                </c:pt>
                <c:pt idx="121">
                  <c:v>107.63677590361446</c:v>
                </c:pt>
                <c:pt idx="122">
                  <c:v>106.28112289156626</c:v>
                </c:pt>
                <c:pt idx="123">
                  <c:v>104.30840963855421</c:v>
                </c:pt>
                <c:pt idx="124">
                  <c:v>104.95758554216867</c:v>
                </c:pt>
                <c:pt idx="125">
                  <c:v>102.8698843373494</c:v>
                </c:pt>
                <c:pt idx="126">
                  <c:v>103.6317204819277</c:v>
                </c:pt>
                <c:pt idx="127">
                  <c:v>102.78345702811245</c:v>
                </c:pt>
                <c:pt idx="128">
                  <c:v>101.74095261044175</c:v>
                </c:pt>
                <c:pt idx="129">
                  <c:v>102.06616064257028</c:v>
                </c:pt>
                <c:pt idx="130">
                  <c:v>100.40555983935744</c:v>
                </c:pt>
                <c:pt idx="131">
                  <c:v>101.98506345381526</c:v>
                </c:pt>
                <c:pt idx="132">
                  <c:v>102.65345863453814</c:v>
                </c:pt>
                <c:pt idx="133">
                  <c:v>102.89153092369479</c:v>
                </c:pt>
                <c:pt idx="134">
                  <c:v>104.79906184738957</c:v>
                </c:pt>
                <c:pt idx="135">
                  <c:v>105.1529236947791</c:v>
                </c:pt>
                <c:pt idx="136">
                  <c:v>104.64290602409638</c:v>
                </c:pt>
                <c:pt idx="137">
                  <c:v>106.6993702811245</c:v>
                </c:pt>
                <c:pt idx="138">
                  <c:v>106.54111646586347</c:v>
                </c:pt>
                <c:pt idx="139">
                  <c:v>105.74166104417671</c:v>
                </c:pt>
                <c:pt idx="140">
                  <c:v>106.08369959839357</c:v>
                </c:pt>
                <c:pt idx="141">
                  <c:v>106.19888514056224</c:v>
                </c:pt>
                <c:pt idx="142">
                  <c:v>105.1145718875502</c:v>
                </c:pt>
                <c:pt idx="143">
                  <c:v>104.11761927710843</c:v>
                </c:pt>
                <c:pt idx="144">
                  <c:v>104.39572530120482</c:v>
                </c:pt>
                <c:pt idx="145">
                  <c:v>105.44426987951807</c:v>
                </c:pt>
                <c:pt idx="146">
                  <c:v>105.63115983935742</c:v>
                </c:pt>
                <c:pt idx="147">
                  <c:v>106.34684658634539</c:v>
                </c:pt>
                <c:pt idx="148">
                  <c:v>104.80467630522088</c:v>
                </c:pt>
                <c:pt idx="149">
                  <c:v>105.66412048192771</c:v>
                </c:pt>
                <c:pt idx="150">
                  <c:v>106.29620080321286</c:v>
                </c:pt>
                <c:pt idx="151">
                  <c:v>106.53273734939759</c:v>
                </c:pt>
                <c:pt idx="152">
                  <c:v>106.43622008032128</c:v>
                </c:pt>
                <c:pt idx="153">
                  <c:v>107.41888674698797</c:v>
                </c:pt>
                <c:pt idx="154">
                  <c:v>108.50976385542168</c:v>
                </c:pt>
                <c:pt idx="155">
                  <c:v>108.96434698795181</c:v>
                </c:pt>
                <c:pt idx="156">
                  <c:v>109.83748755020079</c:v>
                </c:pt>
                <c:pt idx="157">
                  <c:v>108.63953253012049</c:v>
                </c:pt>
                <c:pt idx="158">
                  <c:v>107.58534136546186</c:v>
                </c:pt>
                <c:pt idx="159">
                  <c:v>107.70689638554217</c:v>
                </c:pt>
                <c:pt idx="160">
                  <c:v>108.82054297188755</c:v>
                </c:pt>
                <c:pt idx="161">
                  <c:v>110.06953092369478</c:v>
                </c:pt>
                <c:pt idx="162">
                  <c:v>111.5443550200803</c:v>
                </c:pt>
                <c:pt idx="163">
                  <c:v>113.78440321285142</c:v>
                </c:pt>
                <c:pt idx="164">
                  <c:v>113.31284979919678</c:v>
                </c:pt>
                <c:pt idx="165">
                  <c:v>114.49376064257028</c:v>
                </c:pt>
                <c:pt idx="166">
                  <c:v>113.1422923694779</c:v>
                </c:pt>
                <c:pt idx="167">
                  <c:v>113.84737188755021</c:v>
                </c:pt>
                <c:pt idx="168">
                  <c:v>112.78035341365462</c:v>
                </c:pt>
                <c:pt idx="169">
                  <c:v>111.22835983935744</c:v>
                </c:pt>
                <c:pt idx="170">
                  <c:v>109.98774297188756</c:v>
                </c:pt>
                <c:pt idx="171">
                  <c:v>111.16940401606425</c:v>
                </c:pt>
                <c:pt idx="172">
                  <c:v>110.46619116465864</c:v>
                </c:pt>
                <c:pt idx="173">
                  <c:v>109.66633413654618</c:v>
                </c:pt>
                <c:pt idx="174">
                  <c:v>108.99804979919678</c:v>
                </c:pt>
                <c:pt idx="175">
                  <c:v>109.46222008032129</c:v>
                </c:pt>
                <c:pt idx="176">
                  <c:v>108.59951164658635</c:v>
                </c:pt>
                <c:pt idx="177">
                  <c:v>109.58117911646585</c:v>
                </c:pt>
                <c:pt idx="178">
                  <c:v>108.14805622489961</c:v>
                </c:pt>
                <c:pt idx="179">
                  <c:v>110.40969317269077</c:v>
                </c:pt>
                <c:pt idx="180">
                  <c:v>108.22523212851405</c:v>
                </c:pt>
                <c:pt idx="181">
                  <c:v>110.68081285140563</c:v>
                </c:pt>
                <c:pt idx="182">
                  <c:v>112.36615742971887</c:v>
                </c:pt>
                <c:pt idx="183">
                  <c:v>112.93946506024098</c:v>
                </c:pt>
                <c:pt idx="184">
                  <c:v>111.58685783132529</c:v>
                </c:pt>
                <c:pt idx="185">
                  <c:v>110.61418152610443</c:v>
                </c:pt>
                <c:pt idx="186">
                  <c:v>111.54705542168675</c:v>
                </c:pt>
                <c:pt idx="187">
                  <c:v>111.25089638554218</c:v>
                </c:pt>
                <c:pt idx="188">
                  <c:v>108.69806425702811</c:v>
                </c:pt>
                <c:pt idx="189">
                  <c:v>109.81288032128514</c:v>
                </c:pt>
                <c:pt idx="190">
                  <c:v>111.79172369477912</c:v>
                </c:pt>
                <c:pt idx="191">
                  <c:v>112.15201124497992</c:v>
                </c:pt>
                <c:pt idx="192">
                  <c:v>111.27275662650602</c:v>
                </c:pt>
                <c:pt idx="193">
                  <c:v>112.72583935742972</c:v>
                </c:pt>
                <c:pt idx="194">
                  <c:v>111.00620401606425</c:v>
                </c:pt>
                <c:pt idx="195">
                  <c:v>110.17376546184738</c:v>
                </c:pt>
                <c:pt idx="196">
                  <c:v>110.33013493975903</c:v>
                </c:pt>
                <c:pt idx="197">
                  <c:v>108.73833253012049</c:v>
                </c:pt>
                <c:pt idx="198">
                  <c:v>109.91244016064256</c:v>
                </c:pt>
                <c:pt idx="199">
                  <c:v>109.79595662650603</c:v>
                </c:pt>
                <c:pt idx="200">
                  <c:v>110.46692690763051</c:v>
                </c:pt>
                <c:pt idx="201">
                  <c:v>110.51952128514056</c:v>
                </c:pt>
                <c:pt idx="202">
                  <c:v>110.42194859437751</c:v>
                </c:pt>
                <c:pt idx="203">
                  <c:v>112.09913413654617</c:v>
                </c:pt>
                <c:pt idx="204">
                  <c:v>113.0734939759036</c:v>
                </c:pt>
                <c:pt idx="205">
                  <c:v>114.66029879518072</c:v>
                </c:pt>
                <c:pt idx="206">
                  <c:v>115.61272289156625</c:v>
                </c:pt>
                <c:pt idx="207">
                  <c:v>115.88052048192772</c:v>
                </c:pt>
                <c:pt idx="208">
                  <c:v>115.41994216867471</c:v>
                </c:pt>
                <c:pt idx="209">
                  <c:v>114.49857991967872</c:v>
                </c:pt>
                <c:pt idx="210">
                  <c:v>113.75880963855423</c:v>
                </c:pt>
                <c:pt idx="211">
                  <c:v>114.16797751004015</c:v>
                </c:pt>
                <c:pt idx="212">
                  <c:v>115.50579759036144</c:v>
                </c:pt>
                <c:pt idx="213">
                  <c:v>117.90699759036146</c:v>
                </c:pt>
                <c:pt idx="214">
                  <c:v>117.87303775100402</c:v>
                </c:pt>
                <c:pt idx="215">
                  <c:v>115.81545060240963</c:v>
                </c:pt>
                <c:pt idx="216">
                  <c:v>117.21550361445783</c:v>
                </c:pt>
                <c:pt idx="217">
                  <c:v>116.29420240963854</c:v>
                </c:pt>
                <c:pt idx="218">
                  <c:v>117.20062008032129</c:v>
                </c:pt>
                <c:pt idx="219">
                  <c:v>115.4047469879518</c:v>
                </c:pt>
                <c:pt idx="220">
                  <c:v>113.48483855421688</c:v>
                </c:pt>
                <c:pt idx="221">
                  <c:v>111.52677269076305</c:v>
                </c:pt>
                <c:pt idx="222">
                  <c:v>110.77514056224899</c:v>
                </c:pt>
                <c:pt idx="223">
                  <c:v>109.54703453815262</c:v>
                </c:pt>
                <c:pt idx="224">
                  <c:v>109.49077269076307</c:v>
                </c:pt>
                <c:pt idx="225">
                  <c:v>108.05998714859437</c:v>
                </c:pt>
                <c:pt idx="226">
                  <c:v>105.83383935742971</c:v>
                </c:pt>
                <c:pt idx="227">
                  <c:v>104.39012208835341</c:v>
                </c:pt>
                <c:pt idx="228">
                  <c:v>103.24667791164659</c:v>
                </c:pt>
                <c:pt idx="229">
                  <c:v>102.82744096385544</c:v>
                </c:pt>
                <c:pt idx="230">
                  <c:v>101.68297991967871</c:v>
                </c:pt>
                <c:pt idx="231">
                  <c:v>100.61048192771085</c:v>
                </c:pt>
                <c:pt idx="232">
                  <c:v>102.07832449799197</c:v>
                </c:pt>
                <c:pt idx="233">
                  <c:v>102.65189236947792</c:v>
                </c:pt>
                <c:pt idx="234">
                  <c:v>100.84492530120481</c:v>
                </c:pt>
                <c:pt idx="235">
                  <c:v>101.05976867469879</c:v>
                </c:pt>
                <c:pt idx="236">
                  <c:v>100.14241927710843</c:v>
                </c:pt>
                <c:pt idx="237">
                  <c:v>101.57066184738956</c:v>
                </c:pt>
                <c:pt idx="238">
                  <c:v>103.53605943775099</c:v>
                </c:pt>
                <c:pt idx="239">
                  <c:v>104.52517911646586</c:v>
                </c:pt>
                <c:pt idx="240">
                  <c:v>104.66530441767068</c:v>
                </c:pt>
                <c:pt idx="241">
                  <c:v>105.33447068273092</c:v>
                </c:pt>
                <c:pt idx="242">
                  <c:v>107.41277751004017</c:v>
                </c:pt>
                <c:pt idx="243">
                  <c:v>109.69087871485942</c:v>
                </c:pt>
                <c:pt idx="244">
                  <c:v>109.30905542168674</c:v>
                </c:pt>
                <c:pt idx="245">
                  <c:v>110.17141204819276</c:v>
                </c:pt>
                <c:pt idx="246">
                  <c:v>111.62214136546184</c:v>
                </c:pt>
                <c:pt idx="247">
                  <c:v>111.67284016064256</c:v>
                </c:pt>
                <c:pt idx="248">
                  <c:v>109.69300883534136</c:v>
                </c:pt>
                <c:pt idx="249">
                  <c:v>108.69781365461849</c:v>
                </c:pt>
                <c:pt idx="250">
                  <c:v>111.15533333333335</c:v>
                </c:pt>
                <c:pt idx="251">
                  <c:v>113.12430843373494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78617192"/>
        <c:axId val="378617584"/>
      </c:lineChart>
      <c:catAx>
        <c:axId val="37861719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78617584"/>
        <c:crosses val="autoZero"/>
        <c:auto val="1"/>
        <c:lblAlgn val="ctr"/>
        <c:lblOffset val="100"/>
        <c:noMultiLvlLbl val="0"/>
      </c:catAx>
      <c:valAx>
        <c:axId val="378617584"/>
        <c:scaling>
          <c:orientation val="minMax"/>
          <c:max val="180"/>
          <c:min val="8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_);[Red]\(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786171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314325</xdr:colOff>
      <xdr:row>7</xdr:row>
      <xdr:rowOff>171450</xdr:rowOff>
    </xdr:from>
    <xdr:to>
      <xdr:col>15</xdr:col>
      <xdr:colOff>85725</xdr:colOff>
      <xdr:row>20</xdr:row>
      <xdr:rowOff>190500</xdr:rowOff>
    </xdr:to>
    <xdr:graphicFrame macro="">
      <xdr:nvGraphicFramePr>
        <xdr:cNvPr id="2" name="차트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workbookViewId="0"/>
  </sheetViews>
  <sheetFormatPr defaultRowHeight="16.5" x14ac:dyDescent="0.3"/>
  <cols>
    <col min="1" max="2" width="11" bestFit="1" customWidth="1"/>
    <col min="3" max="3" width="9.875" bestFit="1" customWidth="1"/>
    <col min="4" max="4" width="11" bestFit="1" customWidth="1"/>
    <col min="5" max="6" width="9.875" bestFit="1" customWidth="1"/>
  </cols>
  <sheetData>
    <row r="1" spans="1:6" x14ac:dyDescent="0.3">
      <c r="A1" s="4" t="s">
        <v>0</v>
      </c>
      <c r="B1" s="4" t="s">
        <v>3</v>
      </c>
      <c r="C1" s="4" t="s">
        <v>4</v>
      </c>
      <c r="D1" s="4" t="s">
        <v>5</v>
      </c>
      <c r="E1" s="4" t="s">
        <v>6</v>
      </c>
      <c r="F1" s="4" t="s">
        <v>7</v>
      </c>
    </row>
    <row r="2" spans="1:6" x14ac:dyDescent="0.3">
      <c r="A2" s="2" t="s">
        <v>1</v>
      </c>
      <c r="B2" s="5">
        <v>10000000</v>
      </c>
      <c r="C2" s="5">
        <v>5000000</v>
      </c>
      <c r="D2" s="5">
        <v>20000000</v>
      </c>
      <c r="E2" s="5">
        <v>1000000</v>
      </c>
      <c r="F2" s="5">
        <v>1000000</v>
      </c>
    </row>
    <row r="3" spans="1:6" x14ac:dyDescent="0.3">
      <c r="A3" s="2" t="s">
        <v>2</v>
      </c>
      <c r="B3" s="3">
        <v>0.75</v>
      </c>
      <c r="C3" s="3">
        <v>0.9</v>
      </c>
      <c r="D3" s="3">
        <v>0.82</v>
      </c>
      <c r="E3" s="3">
        <v>0.88</v>
      </c>
      <c r="F3" s="3">
        <v>0.5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3"/>
  <sheetViews>
    <sheetView workbookViewId="0">
      <selection activeCell="F13" sqref="F13"/>
    </sheetView>
  </sheetViews>
  <sheetFormatPr defaultRowHeight="16.5" x14ac:dyDescent="0.3"/>
  <cols>
    <col min="1" max="1" width="5.25" bestFit="1" customWidth="1"/>
  </cols>
  <sheetData>
    <row r="1" spans="1:6" x14ac:dyDescent="0.3">
      <c r="A1" s="4" t="s">
        <v>8</v>
      </c>
      <c r="B1" s="4" t="s">
        <v>3</v>
      </c>
      <c r="C1" s="4" t="s">
        <v>4</v>
      </c>
      <c r="D1" s="4" t="s">
        <v>5</v>
      </c>
      <c r="E1" s="4" t="s">
        <v>6</v>
      </c>
      <c r="F1" s="4" t="s">
        <v>7</v>
      </c>
    </row>
    <row r="2" spans="1:6" x14ac:dyDescent="0.3">
      <c r="A2" s="1">
        <v>1</v>
      </c>
      <c r="B2" s="1">
        <v>10000</v>
      </c>
      <c r="C2" s="1">
        <v>20000</v>
      </c>
      <c r="D2" s="1">
        <v>30000</v>
      </c>
      <c r="E2" s="1">
        <v>100000</v>
      </c>
      <c r="F2" s="1">
        <v>1000000</v>
      </c>
    </row>
    <row r="3" spans="1:6" x14ac:dyDescent="0.3">
      <c r="A3" s="1">
        <v>2</v>
      </c>
      <c r="B3" s="1">
        <f ca="1">RANDBETWEEN(B2*0.97, B2*1.033)</f>
        <v>9810</v>
      </c>
      <c r="C3" s="1">
        <f t="shared" ref="C3:F3" ca="1" si="0">RANDBETWEEN(C2*0.97, C2*1.033)</f>
        <v>20628</v>
      </c>
      <c r="D3" s="1">
        <f t="shared" ca="1" si="0"/>
        <v>29906</v>
      </c>
      <c r="E3" s="1">
        <f t="shared" ca="1" si="0"/>
        <v>99801</v>
      </c>
      <c r="F3" s="1">
        <f t="shared" ca="1" si="0"/>
        <v>991803</v>
      </c>
    </row>
    <row r="4" spans="1:6" x14ac:dyDescent="0.3">
      <c r="A4" s="1">
        <v>3</v>
      </c>
      <c r="B4" s="1">
        <f t="shared" ref="B4:B67" ca="1" si="1">RANDBETWEEN(B3*0.97, B3*1.033)</f>
        <v>9681</v>
      </c>
      <c r="C4" s="1">
        <f t="shared" ref="C4:C67" ca="1" si="2">RANDBETWEEN(C3*0.97, C3*1.033)</f>
        <v>20943</v>
      </c>
      <c r="D4" s="1">
        <f t="shared" ref="D4:D67" ca="1" si="3">RANDBETWEEN(D3*0.97, D3*1.033)</f>
        <v>29437</v>
      </c>
      <c r="E4" s="1">
        <f t="shared" ref="E4:E67" ca="1" si="4">RANDBETWEEN(E3*0.97, E3*1.033)</f>
        <v>98013</v>
      </c>
      <c r="F4" s="1">
        <f t="shared" ref="F4:F67" ca="1" si="5">RANDBETWEEN(F3*0.97, F3*1.033)</f>
        <v>1012236</v>
      </c>
    </row>
    <row r="5" spans="1:6" x14ac:dyDescent="0.3">
      <c r="A5" s="1">
        <v>4</v>
      </c>
      <c r="B5" s="1">
        <f t="shared" ca="1" si="1"/>
        <v>9902</v>
      </c>
      <c r="C5" s="1">
        <f t="shared" ca="1" si="2"/>
        <v>20512</v>
      </c>
      <c r="D5" s="1">
        <f t="shared" ca="1" si="3"/>
        <v>30373</v>
      </c>
      <c r="E5" s="1">
        <f t="shared" ca="1" si="4"/>
        <v>98303</v>
      </c>
      <c r="F5" s="1">
        <f t="shared" ca="1" si="5"/>
        <v>1034839</v>
      </c>
    </row>
    <row r="6" spans="1:6" x14ac:dyDescent="0.3">
      <c r="A6" s="1">
        <v>5</v>
      </c>
      <c r="B6" s="1">
        <f t="shared" ca="1" si="1"/>
        <v>10006</v>
      </c>
      <c r="C6" s="1">
        <f t="shared" ca="1" si="2"/>
        <v>20327</v>
      </c>
      <c r="D6" s="1">
        <f t="shared" ca="1" si="3"/>
        <v>30868</v>
      </c>
      <c r="E6" s="1">
        <f t="shared" ca="1" si="4"/>
        <v>100555</v>
      </c>
      <c r="F6" s="1">
        <f t="shared" ca="1" si="5"/>
        <v>1053235</v>
      </c>
    </row>
    <row r="7" spans="1:6" x14ac:dyDescent="0.3">
      <c r="A7" s="1">
        <v>6</v>
      </c>
      <c r="B7" s="1">
        <f t="shared" ca="1" si="1"/>
        <v>10310</v>
      </c>
      <c r="C7" s="1">
        <f t="shared" ca="1" si="2"/>
        <v>20872</v>
      </c>
      <c r="D7" s="1">
        <f t="shared" ca="1" si="3"/>
        <v>30294</v>
      </c>
      <c r="E7" s="1">
        <f t="shared" ca="1" si="4"/>
        <v>100481</v>
      </c>
      <c r="F7" s="1">
        <f t="shared" ca="1" si="5"/>
        <v>1029896</v>
      </c>
    </row>
    <row r="8" spans="1:6" x14ac:dyDescent="0.3">
      <c r="A8" s="1">
        <v>7</v>
      </c>
      <c r="B8" s="1">
        <f t="shared" ca="1" si="1"/>
        <v>10291</v>
      </c>
      <c r="C8" s="1">
        <f t="shared" ca="1" si="2"/>
        <v>20982</v>
      </c>
      <c r="D8" s="1">
        <f t="shared" ca="1" si="3"/>
        <v>29779</v>
      </c>
      <c r="E8" s="1">
        <f t="shared" ca="1" si="4"/>
        <v>99367</v>
      </c>
      <c r="F8" s="1">
        <f t="shared" ca="1" si="5"/>
        <v>1048724</v>
      </c>
    </row>
    <row r="9" spans="1:6" x14ac:dyDescent="0.3">
      <c r="A9" s="1">
        <v>8</v>
      </c>
      <c r="B9" s="1">
        <f t="shared" ca="1" si="1"/>
        <v>10380</v>
      </c>
      <c r="C9" s="1">
        <f t="shared" ca="1" si="2"/>
        <v>21168</v>
      </c>
      <c r="D9" s="1">
        <f t="shared" ca="1" si="3"/>
        <v>29204</v>
      </c>
      <c r="E9" s="1">
        <f t="shared" ca="1" si="4"/>
        <v>97196</v>
      </c>
      <c r="F9" s="1">
        <f t="shared" ca="1" si="5"/>
        <v>1027880</v>
      </c>
    </row>
    <row r="10" spans="1:6" x14ac:dyDescent="0.3">
      <c r="A10" s="1">
        <v>9</v>
      </c>
      <c r="B10" s="1">
        <f t="shared" ca="1" si="1"/>
        <v>10127</v>
      </c>
      <c r="C10" s="1">
        <f t="shared" ca="1" si="2"/>
        <v>21497</v>
      </c>
      <c r="D10" s="1">
        <f t="shared" ca="1" si="3"/>
        <v>28379</v>
      </c>
      <c r="E10" s="1">
        <f t="shared" ca="1" si="4"/>
        <v>96006</v>
      </c>
      <c r="F10" s="1">
        <f t="shared" ca="1" si="5"/>
        <v>1048735</v>
      </c>
    </row>
    <row r="11" spans="1:6" x14ac:dyDescent="0.3">
      <c r="A11" s="1">
        <v>10</v>
      </c>
      <c r="B11" s="1">
        <f t="shared" ca="1" si="1"/>
        <v>9888</v>
      </c>
      <c r="C11" s="1">
        <f t="shared" ca="1" si="2"/>
        <v>21887</v>
      </c>
      <c r="D11" s="1">
        <f t="shared" ca="1" si="3"/>
        <v>28266</v>
      </c>
      <c r="E11" s="1">
        <f t="shared" ca="1" si="4"/>
        <v>97733</v>
      </c>
      <c r="F11" s="1">
        <f t="shared" ca="1" si="5"/>
        <v>1020472</v>
      </c>
    </row>
    <row r="12" spans="1:6" x14ac:dyDescent="0.3">
      <c r="A12" s="1">
        <v>11</v>
      </c>
      <c r="B12" s="1">
        <f t="shared" ca="1" si="1"/>
        <v>9695</v>
      </c>
      <c r="C12" s="1">
        <f t="shared" ca="1" si="2"/>
        <v>21748</v>
      </c>
      <c r="D12" s="1">
        <f t="shared" ca="1" si="3"/>
        <v>27711</v>
      </c>
      <c r="E12" s="1">
        <f t="shared" ca="1" si="4"/>
        <v>95146</v>
      </c>
      <c r="F12" s="1">
        <f t="shared" ca="1" si="5"/>
        <v>1033402</v>
      </c>
    </row>
    <row r="13" spans="1:6" x14ac:dyDescent="0.3">
      <c r="A13" s="1">
        <v>12</v>
      </c>
      <c r="B13" s="1">
        <f t="shared" ca="1" si="1"/>
        <v>9603</v>
      </c>
      <c r="C13" s="1">
        <f t="shared" ca="1" si="2"/>
        <v>21208</v>
      </c>
      <c r="D13" s="1">
        <f t="shared" ca="1" si="3"/>
        <v>27540</v>
      </c>
      <c r="E13" s="1">
        <f t="shared" ca="1" si="4"/>
        <v>97794</v>
      </c>
      <c r="F13" s="1">
        <f t="shared" ca="1" si="5"/>
        <v>1043250</v>
      </c>
    </row>
    <row r="14" spans="1:6" x14ac:dyDescent="0.3">
      <c r="A14" s="1">
        <v>13</v>
      </c>
      <c r="B14" s="1">
        <f t="shared" ca="1" si="1"/>
        <v>9494</v>
      </c>
      <c r="C14" s="1">
        <f t="shared" ca="1" si="2"/>
        <v>20736</v>
      </c>
      <c r="D14" s="1">
        <f t="shared" ca="1" si="3"/>
        <v>27474</v>
      </c>
      <c r="E14" s="1">
        <f t="shared" ca="1" si="4"/>
        <v>96237</v>
      </c>
      <c r="F14" s="1">
        <f t="shared" ca="1" si="5"/>
        <v>1012526</v>
      </c>
    </row>
    <row r="15" spans="1:6" x14ac:dyDescent="0.3">
      <c r="A15" s="1">
        <v>14</v>
      </c>
      <c r="B15" s="1">
        <f t="shared" ca="1" si="1"/>
        <v>9294</v>
      </c>
      <c r="C15" s="1">
        <f t="shared" ca="1" si="2"/>
        <v>21018</v>
      </c>
      <c r="D15" s="1">
        <f t="shared" ca="1" si="3"/>
        <v>27347</v>
      </c>
      <c r="E15" s="1">
        <f t="shared" ca="1" si="4"/>
        <v>98288</v>
      </c>
      <c r="F15" s="1">
        <f t="shared" ca="1" si="5"/>
        <v>1014899</v>
      </c>
    </row>
    <row r="16" spans="1:6" x14ac:dyDescent="0.3">
      <c r="A16" s="1">
        <v>15</v>
      </c>
      <c r="B16" s="1">
        <f t="shared" ca="1" si="1"/>
        <v>9064</v>
      </c>
      <c r="C16" s="1">
        <f t="shared" ca="1" si="2"/>
        <v>20422</v>
      </c>
      <c r="D16" s="1">
        <f t="shared" ca="1" si="3"/>
        <v>27908</v>
      </c>
      <c r="E16" s="1">
        <f t="shared" ca="1" si="4"/>
        <v>95967</v>
      </c>
      <c r="F16" s="1">
        <f t="shared" ca="1" si="5"/>
        <v>985110</v>
      </c>
    </row>
    <row r="17" spans="1:6" x14ac:dyDescent="0.3">
      <c r="A17" s="1">
        <v>16</v>
      </c>
      <c r="B17" s="1">
        <f t="shared" ca="1" si="1"/>
        <v>9035</v>
      </c>
      <c r="C17" s="1">
        <f t="shared" ca="1" si="2"/>
        <v>20633</v>
      </c>
      <c r="D17" s="1">
        <f t="shared" ca="1" si="3"/>
        <v>27803</v>
      </c>
      <c r="E17" s="1">
        <f t="shared" ca="1" si="4"/>
        <v>96633</v>
      </c>
      <c r="F17" s="1">
        <f t="shared" ca="1" si="5"/>
        <v>1004851</v>
      </c>
    </row>
    <row r="18" spans="1:6" x14ac:dyDescent="0.3">
      <c r="A18" s="1">
        <v>17</v>
      </c>
      <c r="B18" s="1">
        <f t="shared" ca="1" si="1"/>
        <v>9281</v>
      </c>
      <c r="C18" s="1">
        <f t="shared" ca="1" si="2"/>
        <v>20238</v>
      </c>
      <c r="D18" s="1">
        <f t="shared" ca="1" si="3"/>
        <v>27771</v>
      </c>
      <c r="E18" s="1">
        <f t="shared" ca="1" si="4"/>
        <v>93925</v>
      </c>
      <c r="F18" s="1">
        <f t="shared" ca="1" si="5"/>
        <v>989184</v>
      </c>
    </row>
    <row r="19" spans="1:6" x14ac:dyDescent="0.3">
      <c r="A19" s="1">
        <v>18</v>
      </c>
      <c r="B19" s="1">
        <f t="shared" ca="1" si="1"/>
        <v>9497</v>
      </c>
      <c r="C19" s="1">
        <f t="shared" ca="1" si="2"/>
        <v>20621</v>
      </c>
      <c r="D19" s="1">
        <f t="shared" ca="1" si="3"/>
        <v>27278</v>
      </c>
      <c r="E19" s="1">
        <f t="shared" ca="1" si="4"/>
        <v>93513</v>
      </c>
      <c r="F19" s="1">
        <f t="shared" ca="1" si="5"/>
        <v>1002407</v>
      </c>
    </row>
    <row r="20" spans="1:6" x14ac:dyDescent="0.3">
      <c r="A20" s="1">
        <v>19</v>
      </c>
      <c r="B20" s="1">
        <f t="shared" ca="1" si="1"/>
        <v>9373</v>
      </c>
      <c r="C20" s="1">
        <f t="shared" ca="1" si="2"/>
        <v>20221</v>
      </c>
      <c r="D20" s="1">
        <f t="shared" ca="1" si="3"/>
        <v>27378</v>
      </c>
      <c r="E20" s="1">
        <f t="shared" ca="1" si="4"/>
        <v>94523</v>
      </c>
      <c r="F20" s="1">
        <f t="shared" ca="1" si="5"/>
        <v>1028442</v>
      </c>
    </row>
    <row r="21" spans="1:6" x14ac:dyDescent="0.3">
      <c r="A21" s="1">
        <v>20</v>
      </c>
      <c r="B21" s="1">
        <f t="shared" ca="1" si="1"/>
        <v>9543</v>
      </c>
      <c r="C21" s="1">
        <f t="shared" ca="1" si="2"/>
        <v>20718</v>
      </c>
      <c r="D21" s="1">
        <f t="shared" ca="1" si="3"/>
        <v>26939</v>
      </c>
      <c r="E21" s="1">
        <f t="shared" ca="1" si="4"/>
        <v>95967</v>
      </c>
      <c r="F21" s="1">
        <f t="shared" ca="1" si="5"/>
        <v>1060896</v>
      </c>
    </row>
    <row r="22" spans="1:6" x14ac:dyDescent="0.3">
      <c r="A22" s="1">
        <v>21</v>
      </c>
      <c r="B22" s="1">
        <f t="shared" ca="1" si="1"/>
        <v>9696</v>
      </c>
      <c r="C22" s="1">
        <f t="shared" ca="1" si="2"/>
        <v>21050</v>
      </c>
      <c r="D22" s="1">
        <f t="shared" ca="1" si="3"/>
        <v>27609</v>
      </c>
      <c r="E22" s="1">
        <f t="shared" ca="1" si="4"/>
        <v>93194</v>
      </c>
      <c r="F22" s="1">
        <f t="shared" ca="1" si="5"/>
        <v>1046414</v>
      </c>
    </row>
    <row r="23" spans="1:6" x14ac:dyDescent="0.3">
      <c r="A23" s="1">
        <v>22</v>
      </c>
      <c r="B23" s="1">
        <f t="shared" ca="1" si="1"/>
        <v>9573</v>
      </c>
      <c r="C23" s="1">
        <f t="shared" ca="1" si="2"/>
        <v>21228</v>
      </c>
      <c r="D23" s="1">
        <f t="shared" ca="1" si="3"/>
        <v>27902</v>
      </c>
      <c r="E23" s="1">
        <f t="shared" ca="1" si="4"/>
        <v>90645</v>
      </c>
      <c r="F23" s="1">
        <f t="shared" ca="1" si="5"/>
        <v>1038964</v>
      </c>
    </row>
    <row r="24" spans="1:6" x14ac:dyDescent="0.3">
      <c r="A24" s="1">
        <v>23</v>
      </c>
      <c r="B24" s="1">
        <f t="shared" ca="1" si="1"/>
        <v>9379</v>
      </c>
      <c r="C24" s="1">
        <f t="shared" ca="1" si="2"/>
        <v>20727</v>
      </c>
      <c r="D24" s="1">
        <f t="shared" ca="1" si="3"/>
        <v>28718</v>
      </c>
      <c r="E24" s="1">
        <f t="shared" ca="1" si="4"/>
        <v>91732</v>
      </c>
      <c r="F24" s="1">
        <f t="shared" ca="1" si="5"/>
        <v>1052299</v>
      </c>
    </row>
    <row r="25" spans="1:6" x14ac:dyDescent="0.3">
      <c r="A25" s="1">
        <v>24</v>
      </c>
      <c r="B25" s="1">
        <f t="shared" ca="1" si="1"/>
        <v>9635</v>
      </c>
      <c r="C25" s="1">
        <f t="shared" ca="1" si="2"/>
        <v>20198</v>
      </c>
      <c r="D25" s="1">
        <f t="shared" ca="1" si="3"/>
        <v>28322</v>
      </c>
      <c r="E25" s="1">
        <f t="shared" ca="1" si="4"/>
        <v>93450</v>
      </c>
      <c r="F25" s="1">
        <f t="shared" ca="1" si="5"/>
        <v>1045317</v>
      </c>
    </row>
    <row r="26" spans="1:6" x14ac:dyDescent="0.3">
      <c r="A26" s="1">
        <v>25</v>
      </c>
      <c r="B26" s="1">
        <f t="shared" ca="1" si="1"/>
        <v>9537</v>
      </c>
      <c r="C26" s="1">
        <f t="shared" ca="1" si="2"/>
        <v>20437</v>
      </c>
      <c r="D26" s="1">
        <f t="shared" ca="1" si="3"/>
        <v>28624</v>
      </c>
      <c r="E26" s="1">
        <f t="shared" ca="1" si="4"/>
        <v>96452</v>
      </c>
      <c r="F26" s="1">
        <f t="shared" ca="1" si="5"/>
        <v>1041188</v>
      </c>
    </row>
    <row r="27" spans="1:6" x14ac:dyDescent="0.3">
      <c r="A27" s="1">
        <v>26</v>
      </c>
      <c r="B27" s="1">
        <f t="shared" ca="1" si="1"/>
        <v>9344</v>
      </c>
      <c r="C27" s="1">
        <f t="shared" ca="1" si="2"/>
        <v>20469</v>
      </c>
      <c r="D27" s="1">
        <f t="shared" ca="1" si="3"/>
        <v>28416</v>
      </c>
      <c r="E27" s="1">
        <f t="shared" ca="1" si="4"/>
        <v>96105</v>
      </c>
      <c r="F27" s="1">
        <f t="shared" ca="1" si="5"/>
        <v>1039796</v>
      </c>
    </row>
    <row r="28" spans="1:6" x14ac:dyDescent="0.3">
      <c r="A28" s="1">
        <v>27</v>
      </c>
      <c r="B28" s="1">
        <f t="shared" ca="1" si="1"/>
        <v>9310</v>
      </c>
      <c r="C28" s="1">
        <f t="shared" ca="1" si="2"/>
        <v>20966</v>
      </c>
      <c r="D28" s="1">
        <f t="shared" ca="1" si="3"/>
        <v>28606</v>
      </c>
      <c r="E28" s="1">
        <f t="shared" ca="1" si="4"/>
        <v>98578</v>
      </c>
      <c r="F28" s="1">
        <f t="shared" ca="1" si="5"/>
        <v>1019994</v>
      </c>
    </row>
    <row r="29" spans="1:6" x14ac:dyDescent="0.3">
      <c r="A29" s="1">
        <v>28</v>
      </c>
      <c r="B29" s="1">
        <f t="shared" ca="1" si="1"/>
        <v>9396</v>
      </c>
      <c r="C29" s="1">
        <f t="shared" ca="1" si="2"/>
        <v>21491</v>
      </c>
      <c r="D29" s="1">
        <f t="shared" ca="1" si="3"/>
        <v>28222</v>
      </c>
      <c r="E29" s="1">
        <f t="shared" ca="1" si="4"/>
        <v>97144</v>
      </c>
      <c r="F29" s="1">
        <f t="shared" ca="1" si="5"/>
        <v>1049988</v>
      </c>
    </row>
    <row r="30" spans="1:6" x14ac:dyDescent="0.3">
      <c r="A30" s="1">
        <v>29</v>
      </c>
      <c r="B30" s="1">
        <f t="shared" ca="1" si="1"/>
        <v>9161</v>
      </c>
      <c r="C30" s="1">
        <f t="shared" ca="1" si="2"/>
        <v>20888</v>
      </c>
      <c r="D30" s="1">
        <f t="shared" ca="1" si="3"/>
        <v>28599</v>
      </c>
      <c r="E30" s="1">
        <f t="shared" ca="1" si="4"/>
        <v>96824</v>
      </c>
      <c r="F30" s="1">
        <f t="shared" ca="1" si="5"/>
        <v>1072083</v>
      </c>
    </row>
    <row r="31" spans="1:6" x14ac:dyDescent="0.3">
      <c r="A31" s="1">
        <v>30</v>
      </c>
      <c r="B31" s="1">
        <f t="shared" ca="1" si="1"/>
        <v>9101</v>
      </c>
      <c r="C31" s="1">
        <f t="shared" ca="1" si="2"/>
        <v>20904</v>
      </c>
      <c r="D31" s="1">
        <f t="shared" ca="1" si="3"/>
        <v>27894</v>
      </c>
      <c r="E31" s="1">
        <f t="shared" ca="1" si="4"/>
        <v>95548</v>
      </c>
      <c r="F31" s="1">
        <f t="shared" ca="1" si="5"/>
        <v>1087904</v>
      </c>
    </row>
    <row r="32" spans="1:6" x14ac:dyDescent="0.3">
      <c r="A32" s="1">
        <v>31</v>
      </c>
      <c r="B32" s="1">
        <f t="shared" ca="1" si="1"/>
        <v>8852</v>
      </c>
      <c r="C32" s="1">
        <f t="shared" ca="1" si="2"/>
        <v>21335</v>
      </c>
      <c r="D32" s="1">
        <f t="shared" ca="1" si="3"/>
        <v>27150</v>
      </c>
      <c r="E32" s="1">
        <f t="shared" ca="1" si="4"/>
        <v>93409</v>
      </c>
      <c r="F32" s="1">
        <f t="shared" ca="1" si="5"/>
        <v>1112533</v>
      </c>
    </row>
    <row r="33" spans="1:6" x14ac:dyDescent="0.3">
      <c r="A33" s="1">
        <v>32</v>
      </c>
      <c r="B33" s="1">
        <f t="shared" ca="1" si="1"/>
        <v>9050</v>
      </c>
      <c r="C33" s="1">
        <f t="shared" ca="1" si="2"/>
        <v>20894</v>
      </c>
      <c r="D33" s="1">
        <f t="shared" ca="1" si="3"/>
        <v>26578</v>
      </c>
      <c r="E33" s="1">
        <f t="shared" ca="1" si="4"/>
        <v>94839</v>
      </c>
      <c r="F33" s="1">
        <f t="shared" ca="1" si="5"/>
        <v>1092066</v>
      </c>
    </row>
    <row r="34" spans="1:6" x14ac:dyDescent="0.3">
      <c r="A34" s="1">
        <v>33</v>
      </c>
      <c r="B34" s="1">
        <f t="shared" ca="1" si="1"/>
        <v>9313</v>
      </c>
      <c r="C34" s="1">
        <f t="shared" ca="1" si="2"/>
        <v>21129</v>
      </c>
      <c r="D34" s="1">
        <f t="shared" ca="1" si="3"/>
        <v>25984</v>
      </c>
      <c r="E34" s="1">
        <f t="shared" ca="1" si="4"/>
        <v>93771</v>
      </c>
      <c r="F34" s="1">
        <f t="shared" ca="1" si="5"/>
        <v>1114301</v>
      </c>
    </row>
    <row r="35" spans="1:6" x14ac:dyDescent="0.3">
      <c r="A35" s="1">
        <v>34</v>
      </c>
      <c r="B35" s="1">
        <f t="shared" ca="1" si="1"/>
        <v>9456</v>
      </c>
      <c r="C35" s="1">
        <f t="shared" ca="1" si="2"/>
        <v>21584</v>
      </c>
      <c r="D35" s="1">
        <f t="shared" ca="1" si="3"/>
        <v>26300</v>
      </c>
      <c r="E35" s="1">
        <f t="shared" ca="1" si="4"/>
        <v>92043</v>
      </c>
      <c r="F35" s="1">
        <f t="shared" ca="1" si="5"/>
        <v>1123321</v>
      </c>
    </row>
    <row r="36" spans="1:6" x14ac:dyDescent="0.3">
      <c r="A36" s="1">
        <v>35</v>
      </c>
      <c r="B36" s="1">
        <f t="shared" ca="1" si="1"/>
        <v>9598</v>
      </c>
      <c r="C36" s="1">
        <f t="shared" ca="1" si="2"/>
        <v>21559</v>
      </c>
      <c r="D36" s="1">
        <f t="shared" ca="1" si="3"/>
        <v>26316</v>
      </c>
      <c r="E36" s="1">
        <f t="shared" ca="1" si="4"/>
        <v>90366</v>
      </c>
      <c r="F36" s="1">
        <f t="shared" ca="1" si="5"/>
        <v>1148488</v>
      </c>
    </row>
    <row r="37" spans="1:6" x14ac:dyDescent="0.3">
      <c r="A37" s="1">
        <v>36</v>
      </c>
      <c r="B37" s="1">
        <f t="shared" ca="1" si="1"/>
        <v>9584</v>
      </c>
      <c r="C37" s="1">
        <f t="shared" ca="1" si="2"/>
        <v>21826</v>
      </c>
      <c r="D37" s="1">
        <f t="shared" ca="1" si="3"/>
        <v>25720</v>
      </c>
      <c r="E37" s="1">
        <f t="shared" ca="1" si="4"/>
        <v>89712</v>
      </c>
      <c r="F37" s="1">
        <f t="shared" ca="1" si="5"/>
        <v>1161306</v>
      </c>
    </row>
    <row r="38" spans="1:6" x14ac:dyDescent="0.3">
      <c r="A38" s="1">
        <v>37</v>
      </c>
      <c r="B38" s="1">
        <f t="shared" ca="1" si="1"/>
        <v>9710</v>
      </c>
      <c r="C38" s="1">
        <f t="shared" ca="1" si="2"/>
        <v>21303</v>
      </c>
      <c r="D38" s="1">
        <f t="shared" ca="1" si="3"/>
        <v>26437</v>
      </c>
      <c r="E38" s="1">
        <f t="shared" ca="1" si="4"/>
        <v>90441</v>
      </c>
      <c r="F38" s="1">
        <f t="shared" ca="1" si="5"/>
        <v>1128783</v>
      </c>
    </row>
    <row r="39" spans="1:6" x14ac:dyDescent="0.3">
      <c r="A39" s="1">
        <v>38</v>
      </c>
      <c r="B39" s="1">
        <f t="shared" ca="1" si="1"/>
        <v>9629</v>
      </c>
      <c r="C39" s="1">
        <f t="shared" ca="1" si="2"/>
        <v>21504</v>
      </c>
      <c r="D39" s="1">
        <f t="shared" ca="1" si="3"/>
        <v>25761</v>
      </c>
      <c r="E39" s="1">
        <f t="shared" ca="1" si="4"/>
        <v>91205</v>
      </c>
      <c r="F39" s="1">
        <f t="shared" ca="1" si="5"/>
        <v>1104082</v>
      </c>
    </row>
    <row r="40" spans="1:6" x14ac:dyDescent="0.3">
      <c r="A40" s="1">
        <v>39</v>
      </c>
      <c r="B40" s="1">
        <f t="shared" ca="1" si="1"/>
        <v>9800</v>
      </c>
      <c r="C40" s="1">
        <f t="shared" ca="1" si="2"/>
        <v>21706</v>
      </c>
      <c r="D40" s="1">
        <f t="shared" ca="1" si="3"/>
        <v>25165</v>
      </c>
      <c r="E40" s="1">
        <f t="shared" ca="1" si="4"/>
        <v>89877</v>
      </c>
      <c r="F40" s="1">
        <f t="shared" ca="1" si="5"/>
        <v>1071924</v>
      </c>
    </row>
    <row r="41" spans="1:6" x14ac:dyDescent="0.3">
      <c r="A41" s="1">
        <v>40</v>
      </c>
      <c r="B41" s="1">
        <f t="shared" ca="1" si="1"/>
        <v>9628</v>
      </c>
      <c r="C41" s="1">
        <f t="shared" ca="1" si="2"/>
        <v>21666</v>
      </c>
      <c r="D41" s="1">
        <f t="shared" ca="1" si="3"/>
        <v>25279</v>
      </c>
      <c r="E41" s="1">
        <f t="shared" ca="1" si="4"/>
        <v>88058</v>
      </c>
      <c r="F41" s="1">
        <f t="shared" ca="1" si="5"/>
        <v>1062034</v>
      </c>
    </row>
    <row r="42" spans="1:6" x14ac:dyDescent="0.3">
      <c r="A42" s="1">
        <v>41</v>
      </c>
      <c r="B42" s="1">
        <f t="shared" ca="1" si="1"/>
        <v>9660</v>
      </c>
      <c r="C42" s="1">
        <f t="shared" ca="1" si="2"/>
        <v>21398</v>
      </c>
      <c r="D42" s="1">
        <f t="shared" ca="1" si="3"/>
        <v>26058</v>
      </c>
      <c r="E42" s="1">
        <f t="shared" ca="1" si="4"/>
        <v>88981</v>
      </c>
      <c r="F42" s="1">
        <f t="shared" ca="1" si="5"/>
        <v>1056858</v>
      </c>
    </row>
    <row r="43" spans="1:6" x14ac:dyDescent="0.3">
      <c r="A43" s="1">
        <v>42</v>
      </c>
      <c r="B43" s="1">
        <f t="shared" ca="1" si="1"/>
        <v>9373</v>
      </c>
      <c r="C43" s="1">
        <f t="shared" ca="1" si="2"/>
        <v>21136</v>
      </c>
      <c r="D43" s="1">
        <f t="shared" ca="1" si="3"/>
        <v>25970</v>
      </c>
      <c r="E43" s="1">
        <f t="shared" ca="1" si="4"/>
        <v>89852</v>
      </c>
      <c r="F43" s="1">
        <f t="shared" ca="1" si="5"/>
        <v>1076868</v>
      </c>
    </row>
    <row r="44" spans="1:6" x14ac:dyDescent="0.3">
      <c r="A44" s="1">
        <v>43</v>
      </c>
      <c r="B44" s="1">
        <f t="shared" ca="1" si="1"/>
        <v>9491</v>
      </c>
      <c r="C44" s="1">
        <f t="shared" ca="1" si="2"/>
        <v>20771</v>
      </c>
      <c r="D44" s="1">
        <f t="shared" ca="1" si="3"/>
        <v>25228</v>
      </c>
      <c r="E44" s="1">
        <f t="shared" ca="1" si="4"/>
        <v>88404</v>
      </c>
      <c r="F44" s="1">
        <f t="shared" ca="1" si="5"/>
        <v>1091511</v>
      </c>
    </row>
    <row r="45" spans="1:6" x14ac:dyDescent="0.3">
      <c r="A45" s="1">
        <v>44</v>
      </c>
      <c r="B45" s="1">
        <f t="shared" ca="1" si="1"/>
        <v>9214</v>
      </c>
      <c r="C45" s="1">
        <f t="shared" ca="1" si="2"/>
        <v>21445</v>
      </c>
      <c r="D45" s="1">
        <f t="shared" ca="1" si="3"/>
        <v>25664</v>
      </c>
      <c r="E45" s="1">
        <f t="shared" ca="1" si="4"/>
        <v>88191</v>
      </c>
      <c r="F45" s="1">
        <f t="shared" ca="1" si="5"/>
        <v>1085396</v>
      </c>
    </row>
    <row r="46" spans="1:6" x14ac:dyDescent="0.3">
      <c r="A46" s="1">
        <v>45</v>
      </c>
      <c r="B46" s="1">
        <f t="shared" ca="1" si="1"/>
        <v>9116</v>
      </c>
      <c r="C46" s="1">
        <f t="shared" ca="1" si="2"/>
        <v>21885</v>
      </c>
      <c r="D46" s="1">
        <f t="shared" ca="1" si="3"/>
        <v>25904</v>
      </c>
      <c r="E46" s="1">
        <f t="shared" ca="1" si="4"/>
        <v>88081</v>
      </c>
      <c r="F46" s="1">
        <f t="shared" ca="1" si="5"/>
        <v>1071889</v>
      </c>
    </row>
    <row r="47" spans="1:6" x14ac:dyDescent="0.3">
      <c r="A47" s="1">
        <v>46</v>
      </c>
      <c r="B47" s="1">
        <f t="shared" ca="1" si="1"/>
        <v>9176</v>
      </c>
      <c r="C47" s="1">
        <f t="shared" ca="1" si="2"/>
        <v>21910</v>
      </c>
      <c r="D47" s="1">
        <f t="shared" ca="1" si="3"/>
        <v>26071</v>
      </c>
      <c r="E47" s="1">
        <f t="shared" ca="1" si="4"/>
        <v>87726</v>
      </c>
      <c r="F47" s="1">
        <f t="shared" ca="1" si="5"/>
        <v>1085476</v>
      </c>
    </row>
    <row r="48" spans="1:6" x14ac:dyDescent="0.3">
      <c r="A48" s="1">
        <v>47</v>
      </c>
      <c r="B48" s="1">
        <f t="shared" ca="1" si="1"/>
        <v>9311</v>
      </c>
      <c r="C48" s="1">
        <f t="shared" ca="1" si="2"/>
        <v>21600</v>
      </c>
      <c r="D48" s="1">
        <f t="shared" ca="1" si="3"/>
        <v>26068</v>
      </c>
      <c r="E48" s="1">
        <f t="shared" ca="1" si="4"/>
        <v>86563</v>
      </c>
      <c r="F48" s="1">
        <f t="shared" ca="1" si="5"/>
        <v>1103464</v>
      </c>
    </row>
    <row r="49" spans="1:6" x14ac:dyDescent="0.3">
      <c r="A49" s="1">
        <v>48</v>
      </c>
      <c r="B49" s="1">
        <f t="shared" ca="1" si="1"/>
        <v>9184</v>
      </c>
      <c r="C49" s="1">
        <f t="shared" ca="1" si="2"/>
        <v>21382</v>
      </c>
      <c r="D49" s="1">
        <f t="shared" ca="1" si="3"/>
        <v>26562</v>
      </c>
      <c r="E49" s="1">
        <f t="shared" ca="1" si="4"/>
        <v>88843</v>
      </c>
      <c r="F49" s="1">
        <f t="shared" ca="1" si="5"/>
        <v>1078084</v>
      </c>
    </row>
    <row r="50" spans="1:6" x14ac:dyDescent="0.3">
      <c r="A50" s="1">
        <v>49</v>
      </c>
      <c r="B50" s="1">
        <f t="shared" ca="1" si="1"/>
        <v>9388</v>
      </c>
      <c r="C50" s="1">
        <f t="shared" ca="1" si="2"/>
        <v>20884</v>
      </c>
      <c r="D50" s="1">
        <f t="shared" ca="1" si="3"/>
        <v>26892</v>
      </c>
      <c r="E50" s="1">
        <f t="shared" ca="1" si="4"/>
        <v>87279</v>
      </c>
      <c r="F50" s="1">
        <f t="shared" ca="1" si="5"/>
        <v>1069176</v>
      </c>
    </row>
    <row r="51" spans="1:6" x14ac:dyDescent="0.3">
      <c r="A51" s="1">
        <v>50</v>
      </c>
      <c r="B51" s="1">
        <f t="shared" ca="1" si="1"/>
        <v>9670</v>
      </c>
      <c r="C51" s="1">
        <f t="shared" ca="1" si="2"/>
        <v>20503</v>
      </c>
      <c r="D51" s="1">
        <f t="shared" ca="1" si="3"/>
        <v>26219</v>
      </c>
      <c r="E51" s="1">
        <f t="shared" ca="1" si="4"/>
        <v>88637</v>
      </c>
      <c r="F51" s="1">
        <f t="shared" ca="1" si="5"/>
        <v>1081595</v>
      </c>
    </row>
    <row r="52" spans="1:6" x14ac:dyDescent="0.3">
      <c r="A52" s="1">
        <v>51</v>
      </c>
      <c r="B52" s="1">
        <f t="shared" ca="1" si="1"/>
        <v>9615</v>
      </c>
      <c r="C52" s="1">
        <f t="shared" ca="1" si="2"/>
        <v>20674</v>
      </c>
      <c r="D52" s="1">
        <f t="shared" ca="1" si="3"/>
        <v>26582</v>
      </c>
      <c r="E52" s="1">
        <f t="shared" ca="1" si="4"/>
        <v>86754</v>
      </c>
      <c r="F52" s="1">
        <f t="shared" ca="1" si="5"/>
        <v>1049691</v>
      </c>
    </row>
    <row r="53" spans="1:6" x14ac:dyDescent="0.3">
      <c r="A53" s="1">
        <v>52</v>
      </c>
      <c r="B53" s="1">
        <f t="shared" ca="1" si="1"/>
        <v>9869</v>
      </c>
      <c r="C53" s="1">
        <f t="shared" ca="1" si="2"/>
        <v>20536</v>
      </c>
      <c r="D53" s="1">
        <f t="shared" ca="1" si="3"/>
        <v>25918</v>
      </c>
      <c r="E53" s="1">
        <f t="shared" ca="1" si="4"/>
        <v>88421</v>
      </c>
      <c r="F53" s="1">
        <f t="shared" ca="1" si="5"/>
        <v>1023963</v>
      </c>
    </row>
    <row r="54" spans="1:6" x14ac:dyDescent="0.3">
      <c r="A54" s="1">
        <v>53</v>
      </c>
      <c r="B54" s="1">
        <f t="shared" ca="1" si="1"/>
        <v>10098</v>
      </c>
      <c r="C54" s="1">
        <f t="shared" ca="1" si="2"/>
        <v>21048</v>
      </c>
      <c r="D54" s="1">
        <f t="shared" ca="1" si="3"/>
        <v>26347</v>
      </c>
      <c r="E54" s="1">
        <f t="shared" ca="1" si="4"/>
        <v>86911</v>
      </c>
      <c r="F54" s="1">
        <f t="shared" ca="1" si="5"/>
        <v>1045597</v>
      </c>
    </row>
    <row r="55" spans="1:6" x14ac:dyDescent="0.3">
      <c r="A55" s="1">
        <v>54</v>
      </c>
      <c r="B55" s="1">
        <f t="shared" ca="1" si="1"/>
        <v>10380</v>
      </c>
      <c r="C55" s="1">
        <f t="shared" ca="1" si="2"/>
        <v>21052</v>
      </c>
      <c r="D55" s="1">
        <f t="shared" ca="1" si="3"/>
        <v>25913</v>
      </c>
      <c r="E55" s="1">
        <f t="shared" ca="1" si="4"/>
        <v>89387</v>
      </c>
      <c r="F55" s="1">
        <f t="shared" ca="1" si="5"/>
        <v>1023981</v>
      </c>
    </row>
    <row r="56" spans="1:6" x14ac:dyDescent="0.3">
      <c r="A56" s="1">
        <v>55</v>
      </c>
      <c r="B56" s="1">
        <f t="shared" ca="1" si="1"/>
        <v>10345</v>
      </c>
      <c r="C56" s="1">
        <f t="shared" ca="1" si="2"/>
        <v>21525</v>
      </c>
      <c r="D56" s="1">
        <f t="shared" ca="1" si="3"/>
        <v>26583</v>
      </c>
      <c r="E56" s="1">
        <f t="shared" ca="1" si="4"/>
        <v>91123</v>
      </c>
      <c r="F56" s="1">
        <f t="shared" ca="1" si="5"/>
        <v>1008471</v>
      </c>
    </row>
    <row r="57" spans="1:6" x14ac:dyDescent="0.3">
      <c r="A57" s="1">
        <v>56</v>
      </c>
      <c r="B57" s="1">
        <f t="shared" ca="1" si="1"/>
        <v>10347</v>
      </c>
      <c r="C57" s="1">
        <f t="shared" ca="1" si="2"/>
        <v>21558</v>
      </c>
      <c r="D57" s="1">
        <f t="shared" ca="1" si="3"/>
        <v>26510</v>
      </c>
      <c r="E57" s="1">
        <f t="shared" ca="1" si="4"/>
        <v>90158</v>
      </c>
      <c r="F57" s="1">
        <f t="shared" ca="1" si="5"/>
        <v>995725</v>
      </c>
    </row>
    <row r="58" spans="1:6" x14ac:dyDescent="0.3">
      <c r="A58" s="1">
        <v>57</v>
      </c>
      <c r="B58" s="1">
        <f t="shared" ca="1" si="1"/>
        <v>10372</v>
      </c>
      <c r="C58" s="1">
        <f t="shared" ca="1" si="2"/>
        <v>21986</v>
      </c>
      <c r="D58" s="1">
        <f t="shared" ca="1" si="3"/>
        <v>27212</v>
      </c>
      <c r="E58" s="1">
        <f t="shared" ca="1" si="4"/>
        <v>91016</v>
      </c>
      <c r="F58" s="1">
        <f t="shared" ca="1" si="5"/>
        <v>979464</v>
      </c>
    </row>
    <row r="59" spans="1:6" x14ac:dyDescent="0.3">
      <c r="A59" s="1">
        <v>58</v>
      </c>
      <c r="B59" s="1">
        <f t="shared" ca="1" si="1"/>
        <v>10413</v>
      </c>
      <c r="C59" s="1">
        <f t="shared" ca="1" si="2"/>
        <v>21965</v>
      </c>
      <c r="D59" s="1">
        <f t="shared" ca="1" si="3"/>
        <v>27468</v>
      </c>
      <c r="E59" s="1">
        <f t="shared" ca="1" si="4"/>
        <v>88320</v>
      </c>
      <c r="F59" s="1">
        <f t="shared" ca="1" si="5"/>
        <v>980925</v>
      </c>
    </row>
    <row r="60" spans="1:6" x14ac:dyDescent="0.3">
      <c r="A60" s="1">
        <v>59</v>
      </c>
      <c r="B60" s="1">
        <f t="shared" ca="1" si="1"/>
        <v>10251</v>
      </c>
      <c r="C60" s="1">
        <f t="shared" ca="1" si="2"/>
        <v>22374</v>
      </c>
      <c r="D60" s="1">
        <f t="shared" ca="1" si="3"/>
        <v>27611</v>
      </c>
      <c r="E60" s="1">
        <f t="shared" ca="1" si="4"/>
        <v>90362</v>
      </c>
      <c r="F60" s="1">
        <f t="shared" ca="1" si="5"/>
        <v>961513</v>
      </c>
    </row>
    <row r="61" spans="1:6" x14ac:dyDescent="0.3">
      <c r="A61" s="1">
        <v>60</v>
      </c>
      <c r="B61" s="1">
        <f t="shared" ca="1" si="1"/>
        <v>10142</v>
      </c>
      <c r="C61" s="1">
        <f t="shared" ca="1" si="2"/>
        <v>22615</v>
      </c>
      <c r="D61" s="1">
        <f t="shared" ca="1" si="3"/>
        <v>28496</v>
      </c>
      <c r="E61" s="1">
        <f t="shared" ca="1" si="4"/>
        <v>88925</v>
      </c>
      <c r="F61" s="1">
        <f t="shared" ca="1" si="5"/>
        <v>953897</v>
      </c>
    </row>
    <row r="62" spans="1:6" x14ac:dyDescent="0.3">
      <c r="A62" s="1">
        <v>61</v>
      </c>
      <c r="B62" s="1">
        <f t="shared" ca="1" si="1"/>
        <v>10306</v>
      </c>
      <c r="C62" s="1">
        <f t="shared" ca="1" si="2"/>
        <v>22397</v>
      </c>
      <c r="D62" s="1">
        <f t="shared" ca="1" si="3"/>
        <v>28502</v>
      </c>
      <c r="E62" s="1">
        <f t="shared" ca="1" si="4"/>
        <v>89871</v>
      </c>
      <c r="F62" s="1">
        <f t="shared" ca="1" si="5"/>
        <v>941337</v>
      </c>
    </row>
    <row r="63" spans="1:6" x14ac:dyDescent="0.3">
      <c r="A63" s="1">
        <v>62</v>
      </c>
      <c r="B63" s="1">
        <f t="shared" ca="1" si="1"/>
        <v>10155</v>
      </c>
      <c r="C63" s="1">
        <f t="shared" ca="1" si="2"/>
        <v>22556</v>
      </c>
      <c r="D63" s="1">
        <f t="shared" ca="1" si="3"/>
        <v>29332</v>
      </c>
      <c r="E63" s="1">
        <f t="shared" ca="1" si="4"/>
        <v>88239</v>
      </c>
      <c r="F63" s="1">
        <f t="shared" ca="1" si="5"/>
        <v>913268</v>
      </c>
    </row>
    <row r="64" spans="1:6" x14ac:dyDescent="0.3">
      <c r="A64" s="1">
        <v>63</v>
      </c>
      <c r="B64" s="1">
        <f t="shared" ca="1" si="1"/>
        <v>10052</v>
      </c>
      <c r="C64" s="1">
        <f t="shared" ca="1" si="2"/>
        <v>22155</v>
      </c>
      <c r="D64" s="1">
        <f t="shared" ca="1" si="3"/>
        <v>29282</v>
      </c>
      <c r="E64" s="1">
        <f t="shared" ca="1" si="4"/>
        <v>86534</v>
      </c>
      <c r="F64" s="1">
        <f t="shared" ca="1" si="5"/>
        <v>936993</v>
      </c>
    </row>
    <row r="65" spans="1:6" x14ac:dyDescent="0.3">
      <c r="A65" s="1">
        <v>64</v>
      </c>
      <c r="B65" s="1">
        <f t="shared" ca="1" si="1"/>
        <v>10014</v>
      </c>
      <c r="C65" s="1">
        <f t="shared" ca="1" si="2"/>
        <v>21850</v>
      </c>
      <c r="D65" s="1">
        <f t="shared" ca="1" si="3"/>
        <v>29515</v>
      </c>
      <c r="E65" s="1">
        <f t="shared" ca="1" si="4"/>
        <v>86572</v>
      </c>
      <c r="F65" s="1">
        <f t="shared" ca="1" si="5"/>
        <v>949503</v>
      </c>
    </row>
    <row r="66" spans="1:6" x14ac:dyDescent="0.3">
      <c r="A66" s="1">
        <v>65</v>
      </c>
      <c r="B66" s="1">
        <f t="shared" ca="1" si="1"/>
        <v>10234</v>
      </c>
      <c r="C66" s="1">
        <f t="shared" ca="1" si="2"/>
        <v>21493</v>
      </c>
      <c r="D66" s="1">
        <f t="shared" ca="1" si="3"/>
        <v>28735</v>
      </c>
      <c r="E66" s="1">
        <f t="shared" ca="1" si="4"/>
        <v>89189</v>
      </c>
      <c r="F66" s="1">
        <f t="shared" ca="1" si="5"/>
        <v>950821</v>
      </c>
    </row>
    <row r="67" spans="1:6" x14ac:dyDescent="0.3">
      <c r="A67" s="1">
        <v>66</v>
      </c>
      <c r="B67" s="1">
        <f t="shared" ca="1" si="1"/>
        <v>9957</v>
      </c>
      <c r="C67" s="1">
        <f t="shared" ca="1" si="2"/>
        <v>22091</v>
      </c>
      <c r="D67" s="1">
        <f t="shared" ca="1" si="3"/>
        <v>28338</v>
      </c>
      <c r="E67" s="1">
        <f t="shared" ca="1" si="4"/>
        <v>91127</v>
      </c>
      <c r="F67" s="1">
        <f t="shared" ca="1" si="5"/>
        <v>942153</v>
      </c>
    </row>
    <row r="68" spans="1:6" x14ac:dyDescent="0.3">
      <c r="A68" s="1">
        <v>67</v>
      </c>
      <c r="B68" s="1">
        <f t="shared" ref="B68:B131" ca="1" si="6">RANDBETWEEN(B67*0.97, B67*1.033)</f>
        <v>10149</v>
      </c>
      <c r="C68" s="1">
        <f t="shared" ref="C68:C131" ca="1" si="7">RANDBETWEEN(C67*0.97, C67*1.033)</f>
        <v>21871</v>
      </c>
      <c r="D68" s="1">
        <f t="shared" ref="D68:D131" ca="1" si="8">RANDBETWEEN(D67*0.97, D67*1.033)</f>
        <v>28621</v>
      </c>
      <c r="E68" s="1">
        <f t="shared" ref="E68:E131" ca="1" si="9">RANDBETWEEN(E67*0.97, E67*1.033)</f>
        <v>91333</v>
      </c>
      <c r="F68" s="1">
        <f t="shared" ref="F68:F131" ca="1" si="10">RANDBETWEEN(F67*0.97, F67*1.033)</f>
        <v>957188</v>
      </c>
    </row>
    <row r="69" spans="1:6" x14ac:dyDescent="0.3">
      <c r="A69" s="1">
        <v>68</v>
      </c>
      <c r="B69" s="1">
        <f t="shared" ca="1" si="6"/>
        <v>10338</v>
      </c>
      <c r="C69" s="1">
        <f t="shared" ca="1" si="7"/>
        <v>22224</v>
      </c>
      <c r="D69" s="1">
        <f t="shared" ca="1" si="8"/>
        <v>27781</v>
      </c>
      <c r="E69" s="1">
        <f t="shared" ca="1" si="9"/>
        <v>91175</v>
      </c>
      <c r="F69" s="1">
        <f t="shared" ca="1" si="10"/>
        <v>975530</v>
      </c>
    </row>
    <row r="70" spans="1:6" x14ac:dyDescent="0.3">
      <c r="A70" s="1">
        <v>69</v>
      </c>
      <c r="B70" s="1">
        <f t="shared" ca="1" si="6"/>
        <v>10620</v>
      </c>
      <c r="C70" s="1">
        <f t="shared" ca="1" si="7"/>
        <v>21865</v>
      </c>
      <c r="D70" s="1">
        <f t="shared" ca="1" si="8"/>
        <v>28357</v>
      </c>
      <c r="E70" s="1">
        <f t="shared" ca="1" si="9"/>
        <v>93314</v>
      </c>
      <c r="F70" s="1">
        <f t="shared" ca="1" si="10"/>
        <v>977894</v>
      </c>
    </row>
    <row r="71" spans="1:6" x14ac:dyDescent="0.3">
      <c r="A71" s="1">
        <v>70</v>
      </c>
      <c r="B71" s="1">
        <f t="shared" ca="1" si="6"/>
        <v>10829</v>
      </c>
      <c r="C71" s="1">
        <f t="shared" ca="1" si="7"/>
        <v>22489</v>
      </c>
      <c r="D71" s="1">
        <f t="shared" ca="1" si="8"/>
        <v>28006</v>
      </c>
      <c r="E71" s="1">
        <f t="shared" ca="1" si="9"/>
        <v>94410</v>
      </c>
      <c r="F71" s="1">
        <f t="shared" ca="1" si="10"/>
        <v>974320</v>
      </c>
    </row>
    <row r="72" spans="1:6" x14ac:dyDescent="0.3">
      <c r="A72" s="1">
        <v>71</v>
      </c>
      <c r="B72" s="1">
        <f t="shared" ca="1" si="6"/>
        <v>11133</v>
      </c>
      <c r="C72" s="1">
        <f t="shared" ca="1" si="7"/>
        <v>22720</v>
      </c>
      <c r="D72" s="1">
        <f t="shared" ca="1" si="8"/>
        <v>28331</v>
      </c>
      <c r="E72" s="1">
        <f t="shared" ca="1" si="9"/>
        <v>95026</v>
      </c>
      <c r="F72" s="1">
        <f t="shared" ca="1" si="10"/>
        <v>964767</v>
      </c>
    </row>
    <row r="73" spans="1:6" x14ac:dyDescent="0.3">
      <c r="A73" s="1">
        <v>72</v>
      </c>
      <c r="B73" s="1">
        <f t="shared" ca="1" si="6"/>
        <v>11273</v>
      </c>
      <c r="C73" s="1">
        <f t="shared" ca="1" si="7"/>
        <v>22596</v>
      </c>
      <c r="D73" s="1">
        <f t="shared" ca="1" si="8"/>
        <v>28903</v>
      </c>
      <c r="E73" s="1">
        <f t="shared" ca="1" si="9"/>
        <v>94989</v>
      </c>
      <c r="F73" s="1">
        <f t="shared" ca="1" si="10"/>
        <v>963112</v>
      </c>
    </row>
    <row r="74" spans="1:6" x14ac:dyDescent="0.3">
      <c r="A74" s="1">
        <v>73</v>
      </c>
      <c r="B74" s="1">
        <f t="shared" ca="1" si="6"/>
        <v>11473</v>
      </c>
      <c r="C74" s="1">
        <f t="shared" ca="1" si="7"/>
        <v>22671</v>
      </c>
      <c r="D74" s="1">
        <f t="shared" ca="1" si="8"/>
        <v>28059</v>
      </c>
      <c r="E74" s="1">
        <f t="shared" ca="1" si="9"/>
        <v>94339</v>
      </c>
      <c r="F74" s="1">
        <f t="shared" ca="1" si="10"/>
        <v>987375</v>
      </c>
    </row>
    <row r="75" spans="1:6" x14ac:dyDescent="0.3">
      <c r="A75" s="1">
        <v>74</v>
      </c>
      <c r="B75" s="1">
        <f t="shared" ca="1" si="6"/>
        <v>11287</v>
      </c>
      <c r="C75" s="1">
        <f t="shared" ca="1" si="7"/>
        <v>23310</v>
      </c>
      <c r="D75" s="1">
        <f t="shared" ca="1" si="8"/>
        <v>28628</v>
      </c>
      <c r="E75" s="1">
        <f t="shared" ca="1" si="9"/>
        <v>94453</v>
      </c>
      <c r="F75" s="1">
        <f t="shared" ca="1" si="10"/>
        <v>1008893</v>
      </c>
    </row>
    <row r="76" spans="1:6" x14ac:dyDescent="0.3">
      <c r="A76" s="1">
        <v>75</v>
      </c>
      <c r="B76" s="1">
        <f t="shared" ca="1" si="6"/>
        <v>11525</v>
      </c>
      <c r="C76" s="1">
        <f t="shared" ca="1" si="7"/>
        <v>23077</v>
      </c>
      <c r="D76" s="1">
        <f t="shared" ca="1" si="8"/>
        <v>28546</v>
      </c>
      <c r="E76" s="1">
        <f t="shared" ca="1" si="9"/>
        <v>94868</v>
      </c>
      <c r="F76" s="1">
        <f t="shared" ca="1" si="10"/>
        <v>1012830</v>
      </c>
    </row>
    <row r="77" spans="1:6" x14ac:dyDescent="0.3">
      <c r="A77" s="1">
        <v>76</v>
      </c>
      <c r="B77" s="1">
        <f t="shared" ca="1" si="6"/>
        <v>11513</v>
      </c>
      <c r="C77" s="1">
        <f t="shared" ca="1" si="7"/>
        <v>23398</v>
      </c>
      <c r="D77" s="1">
        <f t="shared" ca="1" si="8"/>
        <v>28081</v>
      </c>
      <c r="E77" s="1">
        <f t="shared" ca="1" si="9"/>
        <v>95500</v>
      </c>
      <c r="F77" s="1">
        <f t="shared" ca="1" si="10"/>
        <v>1021965</v>
      </c>
    </row>
    <row r="78" spans="1:6" x14ac:dyDescent="0.3">
      <c r="A78" s="1">
        <v>77</v>
      </c>
      <c r="B78" s="1">
        <f t="shared" ca="1" si="6"/>
        <v>11744</v>
      </c>
      <c r="C78" s="1">
        <f t="shared" ca="1" si="7"/>
        <v>23796</v>
      </c>
      <c r="D78" s="1">
        <f t="shared" ca="1" si="8"/>
        <v>27660</v>
      </c>
      <c r="E78" s="1">
        <f t="shared" ca="1" si="9"/>
        <v>95824</v>
      </c>
      <c r="F78" s="1">
        <f t="shared" ca="1" si="10"/>
        <v>1041973</v>
      </c>
    </row>
    <row r="79" spans="1:6" x14ac:dyDescent="0.3">
      <c r="A79" s="1">
        <v>78</v>
      </c>
      <c r="B79" s="1">
        <f t="shared" ca="1" si="6"/>
        <v>11747</v>
      </c>
      <c r="C79" s="1">
        <f t="shared" ca="1" si="7"/>
        <v>23583</v>
      </c>
      <c r="D79" s="1">
        <f t="shared" ca="1" si="8"/>
        <v>27351</v>
      </c>
      <c r="E79" s="1">
        <f t="shared" ca="1" si="9"/>
        <v>98753</v>
      </c>
      <c r="F79" s="1">
        <f t="shared" ca="1" si="10"/>
        <v>1073190</v>
      </c>
    </row>
    <row r="80" spans="1:6" x14ac:dyDescent="0.3">
      <c r="A80" s="1">
        <v>79</v>
      </c>
      <c r="B80" s="1">
        <f t="shared" ca="1" si="6"/>
        <v>11842</v>
      </c>
      <c r="C80" s="1">
        <f t="shared" ca="1" si="7"/>
        <v>23335</v>
      </c>
      <c r="D80" s="1">
        <f t="shared" ca="1" si="8"/>
        <v>26801</v>
      </c>
      <c r="E80" s="1">
        <f t="shared" ca="1" si="9"/>
        <v>100612</v>
      </c>
      <c r="F80" s="1">
        <f t="shared" ca="1" si="10"/>
        <v>1061149</v>
      </c>
    </row>
    <row r="81" spans="1:6" x14ac:dyDescent="0.3">
      <c r="A81" s="1">
        <v>80</v>
      </c>
      <c r="B81" s="1">
        <f t="shared" ca="1" si="6"/>
        <v>11925</v>
      </c>
      <c r="C81" s="1">
        <f t="shared" ca="1" si="7"/>
        <v>23700</v>
      </c>
      <c r="D81" s="1">
        <f t="shared" ca="1" si="8"/>
        <v>26824</v>
      </c>
      <c r="E81" s="1">
        <f t="shared" ca="1" si="9"/>
        <v>100848</v>
      </c>
      <c r="F81" s="1">
        <f t="shared" ca="1" si="10"/>
        <v>1044980</v>
      </c>
    </row>
    <row r="82" spans="1:6" x14ac:dyDescent="0.3">
      <c r="A82" s="1">
        <v>81</v>
      </c>
      <c r="B82" s="1">
        <f t="shared" ca="1" si="6"/>
        <v>11629</v>
      </c>
      <c r="C82" s="1">
        <f t="shared" ca="1" si="7"/>
        <v>23949</v>
      </c>
      <c r="D82" s="1">
        <f t="shared" ca="1" si="8"/>
        <v>27252</v>
      </c>
      <c r="E82" s="1">
        <f t="shared" ca="1" si="9"/>
        <v>100593</v>
      </c>
      <c r="F82" s="1">
        <f t="shared" ca="1" si="10"/>
        <v>1036577</v>
      </c>
    </row>
    <row r="83" spans="1:6" x14ac:dyDescent="0.3">
      <c r="A83" s="1">
        <v>82</v>
      </c>
      <c r="B83" s="1">
        <f t="shared" ca="1" si="6"/>
        <v>11625</v>
      </c>
      <c r="C83" s="1">
        <f t="shared" ca="1" si="7"/>
        <v>23672</v>
      </c>
      <c r="D83" s="1">
        <f t="shared" ca="1" si="8"/>
        <v>27545</v>
      </c>
      <c r="E83" s="1">
        <f t="shared" ca="1" si="9"/>
        <v>103369</v>
      </c>
      <c r="F83" s="1">
        <f t="shared" ca="1" si="10"/>
        <v>1012217</v>
      </c>
    </row>
    <row r="84" spans="1:6" x14ac:dyDescent="0.3">
      <c r="A84" s="1">
        <v>83</v>
      </c>
      <c r="B84" s="1">
        <f t="shared" ca="1" si="6"/>
        <v>11890</v>
      </c>
      <c r="C84" s="1">
        <f t="shared" ca="1" si="7"/>
        <v>23219</v>
      </c>
      <c r="D84" s="1">
        <f t="shared" ca="1" si="8"/>
        <v>26763</v>
      </c>
      <c r="E84" s="1">
        <f t="shared" ca="1" si="9"/>
        <v>105023</v>
      </c>
      <c r="F84" s="1">
        <f t="shared" ca="1" si="10"/>
        <v>1010237</v>
      </c>
    </row>
    <row r="85" spans="1:6" x14ac:dyDescent="0.3">
      <c r="A85" s="1">
        <v>84</v>
      </c>
      <c r="B85" s="1">
        <f t="shared" ca="1" si="6"/>
        <v>11736</v>
      </c>
      <c r="C85" s="1">
        <f t="shared" ca="1" si="7"/>
        <v>22820</v>
      </c>
      <c r="D85" s="1">
        <f t="shared" ca="1" si="8"/>
        <v>26340</v>
      </c>
      <c r="E85" s="1">
        <f t="shared" ca="1" si="9"/>
        <v>103341</v>
      </c>
      <c r="F85" s="1">
        <f t="shared" ca="1" si="10"/>
        <v>1042804</v>
      </c>
    </row>
    <row r="86" spans="1:6" x14ac:dyDescent="0.3">
      <c r="A86" s="1">
        <v>85</v>
      </c>
      <c r="B86" s="1">
        <f t="shared" ca="1" si="6"/>
        <v>11562</v>
      </c>
      <c r="C86" s="1">
        <f t="shared" ca="1" si="7"/>
        <v>23388</v>
      </c>
      <c r="D86" s="1">
        <f t="shared" ca="1" si="8"/>
        <v>25970</v>
      </c>
      <c r="E86" s="1">
        <f t="shared" ca="1" si="9"/>
        <v>101887</v>
      </c>
      <c r="F86" s="1">
        <f t="shared" ca="1" si="10"/>
        <v>1019916</v>
      </c>
    </row>
    <row r="87" spans="1:6" x14ac:dyDescent="0.3">
      <c r="A87" s="1">
        <v>86</v>
      </c>
      <c r="B87" s="1">
        <f t="shared" ca="1" si="6"/>
        <v>11637</v>
      </c>
      <c r="C87" s="1">
        <f t="shared" ca="1" si="7"/>
        <v>23919</v>
      </c>
      <c r="D87" s="1">
        <f t="shared" ca="1" si="8"/>
        <v>26454</v>
      </c>
      <c r="E87" s="1">
        <f t="shared" ca="1" si="9"/>
        <v>98896</v>
      </c>
      <c r="F87" s="1">
        <f t="shared" ca="1" si="10"/>
        <v>1014402</v>
      </c>
    </row>
    <row r="88" spans="1:6" x14ac:dyDescent="0.3">
      <c r="A88" s="1">
        <v>87</v>
      </c>
      <c r="B88" s="1">
        <f t="shared" ca="1" si="6"/>
        <v>11305</v>
      </c>
      <c r="C88" s="1">
        <f t="shared" ca="1" si="7"/>
        <v>24534</v>
      </c>
      <c r="D88" s="1">
        <f t="shared" ca="1" si="8"/>
        <v>27191</v>
      </c>
      <c r="E88" s="1">
        <f t="shared" ca="1" si="9"/>
        <v>98815</v>
      </c>
      <c r="F88" s="1">
        <f t="shared" ca="1" si="10"/>
        <v>1023100</v>
      </c>
    </row>
    <row r="89" spans="1:6" x14ac:dyDescent="0.3">
      <c r="A89" s="1">
        <v>88</v>
      </c>
      <c r="B89" s="1">
        <f t="shared" ca="1" si="6"/>
        <v>11072</v>
      </c>
      <c r="C89" s="1">
        <f t="shared" ca="1" si="7"/>
        <v>24228</v>
      </c>
      <c r="D89" s="1">
        <f t="shared" ca="1" si="8"/>
        <v>28025</v>
      </c>
      <c r="E89" s="1">
        <f t="shared" ca="1" si="9"/>
        <v>99022</v>
      </c>
      <c r="F89" s="1">
        <f t="shared" ca="1" si="10"/>
        <v>1054700</v>
      </c>
    </row>
    <row r="90" spans="1:6" x14ac:dyDescent="0.3">
      <c r="A90" s="1">
        <v>89</v>
      </c>
      <c r="B90" s="1">
        <f t="shared" ca="1" si="6"/>
        <v>11006</v>
      </c>
      <c r="C90" s="1">
        <f t="shared" ca="1" si="7"/>
        <v>24722</v>
      </c>
      <c r="D90" s="1">
        <f t="shared" ca="1" si="8"/>
        <v>27823</v>
      </c>
      <c r="E90" s="1">
        <f t="shared" ca="1" si="9"/>
        <v>100895</v>
      </c>
      <c r="F90" s="1">
        <f t="shared" ca="1" si="10"/>
        <v>1056985</v>
      </c>
    </row>
    <row r="91" spans="1:6" x14ac:dyDescent="0.3">
      <c r="A91" s="1">
        <v>90</v>
      </c>
      <c r="B91" s="1">
        <f t="shared" ca="1" si="6"/>
        <v>10766</v>
      </c>
      <c r="C91" s="1">
        <f t="shared" ca="1" si="7"/>
        <v>24154</v>
      </c>
      <c r="D91" s="1">
        <f t="shared" ca="1" si="8"/>
        <v>27353</v>
      </c>
      <c r="E91" s="1">
        <f t="shared" ca="1" si="9"/>
        <v>103599</v>
      </c>
      <c r="F91" s="1">
        <f t="shared" ca="1" si="10"/>
        <v>1084257</v>
      </c>
    </row>
    <row r="92" spans="1:6" x14ac:dyDescent="0.3">
      <c r="A92" s="1">
        <v>91</v>
      </c>
      <c r="B92" s="1">
        <f t="shared" ca="1" si="6"/>
        <v>10585</v>
      </c>
      <c r="C92" s="1">
        <f t="shared" ca="1" si="7"/>
        <v>23839</v>
      </c>
      <c r="D92" s="1">
        <f t="shared" ca="1" si="8"/>
        <v>27672</v>
      </c>
      <c r="E92" s="1">
        <f t="shared" ca="1" si="9"/>
        <v>102378</v>
      </c>
      <c r="F92" s="1">
        <f t="shared" ca="1" si="10"/>
        <v>1065183</v>
      </c>
    </row>
    <row r="93" spans="1:6" x14ac:dyDescent="0.3">
      <c r="A93" s="1">
        <v>92</v>
      </c>
      <c r="B93" s="1">
        <f t="shared" ca="1" si="6"/>
        <v>10778</v>
      </c>
      <c r="C93" s="1">
        <f t="shared" ca="1" si="7"/>
        <v>24308</v>
      </c>
      <c r="D93" s="1">
        <f t="shared" ca="1" si="8"/>
        <v>26880</v>
      </c>
      <c r="E93" s="1">
        <f t="shared" ca="1" si="9"/>
        <v>100321</v>
      </c>
      <c r="F93" s="1">
        <f t="shared" ca="1" si="10"/>
        <v>1044806</v>
      </c>
    </row>
    <row r="94" spans="1:6" x14ac:dyDescent="0.3">
      <c r="A94" s="1">
        <v>93</v>
      </c>
      <c r="B94" s="1">
        <f t="shared" ca="1" si="6"/>
        <v>11086</v>
      </c>
      <c r="C94" s="1">
        <f t="shared" ca="1" si="7"/>
        <v>24370</v>
      </c>
      <c r="D94" s="1">
        <f t="shared" ca="1" si="8"/>
        <v>27568</v>
      </c>
      <c r="E94" s="1">
        <f t="shared" ca="1" si="9"/>
        <v>100551</v>
      </c>
      <c r="F94" s="1">
        <f t="shared" ca="1" si="10"/>
        <v>1021363</v>
      </c>
    </row>
    <row r="95" spans="1:6" x14ac:dyDescent="0.3">
      <c r="A95" s="1">
        <v>94</v>
      </c>
      <c r="B95" s="1">
        <f t="shared" ca="1" si="6"/>
        <v>10971</v>
      </c>
      <c r="C95" s="1">
        <f t="shared" ca="1" si="7"/>
        <v>25069</v>
      </c>
      <c r="D95" s="1">
        <f t="shared" ca="1" si="8"/>
        <v>27860</v>
      </c>
      <c r="E95" s="1">
        <f t="shared" ca="1" si="9"/>
        <v>100171</v>
      </c>
      <c r="F95" s="1">
        <f t="shared" ca="1" si="10"/>
        <v>1046208</v>
      </c>
    </row>
    <row r="96" spans="1:6" x14ac:dyDescent="0.3">
      <c r="A96" s="1">
        <v>95</v>
      </c>
      <c r="B96" s="1">
        <f t="shared" ca="1" si="6"/>
        <v>10737</v>
      </c>
      <c r="C96" s="1">
        <f t="shared" ca="1" si="7"/>
        <v>24920</v>
      </c>
      <c r="D96" s="1">
        <f t="shared" ca="1" si="8"/>
        <v>28673</v>
      </c>
      <c r="E96" s="1">
        <f t="shared" ca="1" si="9"/>
        <v>101389</v>
      </c>
      <c r="F96" s="1">
        <f t="shared" ca="1" si="10"/>
        <v>1060755</v>
      </c>
    </row>
    <row r="97" spans="1:6" x14ac:dyDescent="0.3">
      <c r="A97" s="1">
        <v>96</v>
      </c>
      <c r="B97" s="1">
        <f t="shared" ca="1" si="6"/>
        <v>10805</v>
      </c>
      <c r="C97" s="1">
        <f t="shared" ca="1" si="7"/>
        <v>24369</v>
      </c>
      <c r="D97" s="1">
        <f t="shared" ca="1" si="8"/>
        <v>28043</v>
      </c>
      <c r="E97" s="1">
        <f t="shared" ca="1" si="9"/>
        <v>102118</v>
      </c>
      <c r="F97" s="1">
        <f t="shared" ca="1" si="10"/>
        <v>1053361</v>
      </c>
    </row>
    <row r="98" spans="1:6" x14ac:dyDescent="0.3">
      <c r="A98" s="1">
        <v>97</v>
      </c>
      <c r="B98" s="1">
        <f t="shared" ca="1" si="6"/>
        <v>10960</v>
      </c>
      <c r="C98" s="1">
        <f t="shared" ca="1" si="7"/>
        <v>25034</v>
      </c>
      <c r="D98" s="1">
        <f t="shared" ca="1" si="8"/>
        <v>27573</v>
      </c>
      <c r="E98" s="1">
        <f t="shared" ca="1" si="9"/>
        <v>101184</v>
      </c>
      <c r="F98" s="1">
        <f t="shared" ca="1" si="10"/>
        <v>1070036</v>
      </c>
    </row>
    <row r="99" spans="1:6" x14ac:dyDescent="0.3">
      <c r="A99" s="1">
        <v>98</v>
      </c>
      <c r="B99" s="1">
        <f t="shared" ca="1" si="6"/>
        <v>11307</v>
      </c>
      <c r="C99" s="1">
        <f t="shared" ca="1" si="7"/>
        <v>25451</v>
      </c>
      <c r="D99" s="1">
        <f t="shared" ca="1" si="8"/>
        <v>27237</v>
      </c>
      <c r="E99" s="1">
        <f t="shared" ca="1" si="9"/>
        <v>100426</v>
      </c>
      <c r="F99" s="1">
        <f t="shared" ca="1" si="10"/>
        <v>1071358</v>
      </c>
    </row>
    <row r="100" spans="1:6" x14ac:dyDescent="0.3">
      <c r="A100" s="1">
        <v>99</v>
      </c>
      <c r="B100" s="1">
        <f t="shared" ca="1" si="6"/>
        <v>11258</v>
      </c>
      <c r="C100" s="1">
        <f t="shared" ca="1" si="7"/>
        <v>25614</v>
      </c>
      <c r="D100" s="1">
        <f t="shared" ca="1" si="8"/>
        <v>26850</v>
      </c>
      <c r="E100" s="1">
        <f t="shared" ca="1" si="9"/>
        <v>98050</v>
      </c>
      <c r="F100" s="1">
        <f t="shared" ca="1" si="10"/>
        <v>1093486</v>
      </c>
    </row>
    <row r="101" spans="1:6" x14ac:dyDescent="0.3">
      <c r="A101" s="1">
        <v>100</v>
      </c>
      <c r="B101" s="1">
        <f t="shared" ca="1" si="6"/>
        <v>11611</v>
      </c>
      <c r="C101" s="1">
        <f t="shared" ca="1" si="7"/>
        <v>25971</v>
      </c>
      <c r="D101" s="1">
        <f t="shared" ca="1" si="8"/>
        <v>26256</v>
      </c>
      <c r="E101" s="1">
        <f t="shared" ca="1" si="9"/>
        <v>96536</v>
      </c>
      <c r="F101" s="1">
        <f t="shared" ca="1" si="10"/>
        <v>1113264</v>
      </c>
    </row>
    <row r="102" spans="1:6" x14ac:dyDescent="0.3">
      <c r="A102" s="1">
        <v>101</v>
      </c>
      <c r="B102" s="1">
        <f t="shared" ca="1" si="6"/>
        <v>11415</v>
      </c>
      <c r="C102" s="1">
        <f t="shared" ca="1" si="7"/>
        <v>25633</v>
      </c>
      <c r="D102" s="1">
        <f t="shared" ca="1" si="8"/>
        <v>25921</v>
      </c>
      <c r="E102" s="1">
        <f t="shared" ca="1" si="9"/>
        <v>94884</v>
      </c>
      <c r="F102" s="1">
        <f t="shared" ca="1" si="10"/>
        <v>1121991</v>
      </c>
    </row>
    <row r="103" spans="1:6" x14ac:dyDescent="0.3">
      <c r="A103" s="1">
        <v>102</v>
      </c>
      <c r="B103" s="1">
        <f t="shared" ca="1" si="6"/>
        <v>11078</v>
      </c>
      <c r="C103" s="1">
        <f t="shared" ca="1" si="7"/>
        <v>25684</v>
      </c>
      <c r="D103" s="1">
        <f t="shared" ca="1" si="8"/>
        <v>25649</v>
      </c>
      <c r="E103" s="1">
        <f t="shared" ca="1" si="9"/>
        <v>97533</v>
      </c>
      <c r="F103" s="1">
        <f t="shared" ca="1" si="10"/>
        <v>1157657</v>
      </c>
    </row>
    <row r="104" spans="1:6" x14ac:dyDescent="0.3">
      <c r="A104" s="1">
        <v>103</v>
      </c>
      <c r="B104" s="1">
        <f t="shared" ca="1" si="6"/>
        <v>11005</v>
      </c>
      <c r="C104" s="1">
        <f t="shared" ca="1" si="7"/>
        <v>25304</v>
      </c>
      <c r="D104" s="1">
        <f t="shared" ca="1" si="8"/>
        <v>25920</v>
      </c>
      <c r="E104" s="1">
        <f t="shared" ca="1" si="9"/>
        <v>99424</v>
      </c>
      <c r="F104" s="1">
        <f t="shared" ca="1" si="10"/>
        <v>1168404</v>
      </c>
    </row>
    <row r="105" spans="1:6" x14ac:dyDescent="0.3">
      <c r="A105" s="1">
        <v>104</v>
      </c>
      <c r="B105" s="1">
        <f t="shared" ca="1" si="6"/>
        <v>11072</v>
      </c>
      <c r="C105" s="1">
        <f t="shared" ca="1" si="7"/>
        <v>24912</v>
      </c>
      <c r="D105" s="1">
        <f t="shared" ca="1" si="8"/>
        <v>25899</v>
      </c>
      <c r="E105" s="1">
        <f t="shared" ca="1" si="9"/>
        <v>97862</v>
      </c>
      <c r="F105" s="1">
        <f t="shared" ca="1" si="10"/>
        <v>1154356</v>
      </c>
    </row>
    <row r="106" spans="1:6" x14ac:dyDescent="0.3">
      <c r="A106" s="1">
        <v>105</v>
      </c>
      <c r="B106" s="1">
        <f t="shared" ca="1" si="6"/>
        <v>10914</v>
      </c>
      <c r="C106" s="1">
        <f t="shared" ca="1" si="7"/>
        <v>25402</v>
      </c>
      <c r="D106" s="1">
        <f t="shared" ca="1" si="8"/>
        <v>25683</v>
      </c>
      <c r="E106" s="1">
        <f t="shared" ca="1" si="9"/>
        <v>97929</v>
      </c>
      <c r="F106" s="1">
        <f t="shared" ca="1" si="10"/>
        <v>1123637</v>
      </c>
    </row>
    <row r="107" spans="1:6" x14ac:dyDescent="0.3">
      <c r="A107" s="1">
        <v>106</v>
      </c>
      <c r="B107" s="1">
        <f t="shared" ca="1" si="6"/>
        <v>11179</v>
      </c>
      <c r="C107" s="1">
        <f t="shared" ca="1" si="7"/>
        <v>24652</v>
      </c>
      <c r="D107" s="1">
        <f t="shared" ca="1" si="8"/>
        <v>26414</v>
      </c>
      <c r="E107" s="1">
        <f t="shared" ca="1" si="9"/>
        <v>96269</v>
      </c>
      <c r="F107" s="1">
        <f t="shared" ca="1" si="10"/>
        <v>1158377</v>
      </c>
    </row>
    <row r="108" spans="1:6" x14ac:dyDescent="0.3">
      <c r="A108" s="1">
        <v>107</v>
      </c>
      <c r="B108" s="1">
        <f t="shared" ca="1" si="6"/>
        <v>11510</v>
      </c>
      <c r="C108" s="1">
        <f t="shared" ca="1" si="7"/>
        <v>25458</v>
      </c>
      <c r="D108" s="1">
        <f t="shared" ca="1" si="8"/>
        <v>26243</v>
      </c>
      <c r="E108" s="1">
        <f t="shared" ca="1" si="9"/>
        <v>99154</v>
      </c>
      <c r="F108" s="1">
        <f t="shared" ca="1" si="10"/>
        <v>1147000</v>
      </c>
    </row>
    <row r="109" spans="1:6" x14ac:dyDescent="0.3">
      <c r="A109" s="1">
        <v>108</v>
      </c>
      <c r="B109" s="1">
        <f t="shared" ca="1" si="6"/>
        <v>11781</v>
      </c>
      <c r="C109" s="1">
        <f t="shared" ca="1" si="7"/>
        <v>26269</v>
      </c>
      <c r="D109" s="1">
        <f t="shared" ca="1" si="8"/>
        <v>26218</v>
      </c>
      <c r="E109" s="1">
        <f t="shared" ca="1" si="9"/>
        <v>96923</v>
      </c>
      <c r="F109" s="1">
        <f t="shared" ca="1" si="10"/>
        <v>1132586</v>
      </c>
    </row>
    <row r="110" spans="1:6" x14ac:dyDescent="0.3">
      <c r="A110" s="1">
        <v>109</v>
      </c>
      <c r="B110" s="1">
        <f t="shared" ca="1" si="6"/>
        <v>11846</v>
      </c>
      <c r="C110" s="1">
        <f t="shared" ca="1" si="7"/>
        <v>26394</v>
      </c>
      <c r="D110" s="1">
        <f t="shared" ca="1" si="8"/>
        <v>25713</v>
      </c>
      <c r="E110" s="1">
        <f t="shared" ca="1" si="9"/>
        <v>96643</v>
      </c>
      <c r="F110" s="1">
        <f t="shared" ca="1" si="10"/>
        <v>1143954</v>
      </c>
    </row>
    <row r="111" spans="1:6" x14ac:dyDescent="0.3">
      <c r="A111" s="1">
        <v>110</v>
      </c>
      <c r="B111" s="1">
        <f t="shared" ca="1" si="6"/>
        <v>12194</v>
      </c>
      <c r="C111" s="1">
        <f t="shared" ca="1" si="7"/>
        <v>27125</v>
      </c>
      <c r="D111" s="1">
        <f t="shared" ca="1" si="8"/>
        <v>25041</v>
      </c>
      <c r="E111" s="1">
        <f t="shared" ca="1" si="9"/>
        <v>99793</v>
      </c>
      <c r="F111" s="1">
        <f t="shared" ca="1" si="10"/>
        <v>1138342</v>
      </c>
    </row>
    <row r="112" spans="1:6" x14ac:dyDescent="0.3">
      <c r="A112" s="1">
        <v>111</v>
      </c>
      <c r="B112" s="1">
        <f t="shared" ca="1" si="6"/>
        <v>12529</v>
      </c>
      <c r="C112" s="1">
        <f t="shared" ca="1" si="7"/>
        <v>27324</v>
      </c>
      <c r="D112" s="1">
        <f t="shared" ca="1" si="8"/>
        <v>24351</v>
      </c>
      <c r="E112" s="1">
        <f t="shared" ca="1" si="9"/>
        <v>102349</v>
      </c>
      <c r="F112" s="1">
        <f t="shared" ca="1" si="10"/>
        <v>1155103</v>
      </c>
    </row>
    <row r="113" spans="1:6" x14ac:dyDescent="0.3">
      <c r="A113" s="1">
        <v>112</v>
      </c>
      <c r="B113" s="1">
        <f t="shared" ca="1" si="6"/>
        <v>12479</v>
      </c>
      <c r="C113" s="1">
        <f t="shared" ca="1" si="7"/>
        <v>27778</v>
      </c>
      <c r="D113" s="1">
        <f t="shared" ca="1" si="8"/>
        <v>24090</v>
      </c>
      <c r="E113" s="1">
        <f t="shared" ca="1" si="9"/>
        <v>99773</v>
      </c>
      <c r="F113" s="1">
        <f t="shared" ca="1" si="10"/>
        <v>1145751</v>
      </c>
    </row>
    <row r="114" spans="1:6" x14ac:dyDescent="0.3">
      <c r="A114" s="1">
        <v>113</v>
      </c>
      <c r="B114" s="1">
        <f t="shared" ca="1" si="6"/>
        <v>12461</v>
      </c>
      <c r="C114" s="1">
        <f t="shared" ca="1" si="7"/>
        <v>28052</v>
      </c>
      <c r="D114" s="1">
        <f t="shared" ca="1" si="8"/>
        <v>24462</v>
      </c>
      <c r="E114" s="1">
        <f t="shared" ca="1" si="9"/>
        <v>98047</v>
      </c>
      <c r="F114" s="1">
        <f t="shared" ca="1" si="10"/>
        <v>1121086</v>
      </c>
    </row>
    <row r="115" spans="1:6" x14ac:dyDescent="0.3">
      <c r="A115" s="1">
        <v>114</v>
      </c>
      <c r="B115" s="1">
        <f t="shared" ca="1" si="6"/>
        <v>12573</v>
      </c>
      <c r="C115" s="1">
        <f t="shared" ca="1" si="7"/>
        <v>27852</v>
      </c>
      <c r="D115" s="1">
        <f t="shared" ca="1" si="8"/>
        <v>25017</v>
      </c>
      <c r="E115" s="1">
        <f t="shared" ca="1" si="9"/>
        <v>99941</v>
      </c>
      <c r="F115" s="1">
        <f t="shared" ca="1" si="10"/>
        <v>1096190</v>
      </c>
    </row>
    <row r="116" spans="1:6" x14ac:dyDescent="0.3">
      <c r="A116" s="1">
        <v>115</v>
      </c>
      <c r="B116" s="1">
        <f t="shared" ca="1" si="6"/>
        <v>12816</v>
      </c>
      <c r="C116" s="1">
        <f t="shared" ca="1" si="7"/>
        <v>27817</v>
      </c>
      <c r="D116" s="1">
        <f t="shared" ca="1" si="8"/>
        <v>24421</v>
      </c>
      <c r="E116" s="1">
        <f t="shared" ca="1" si="9"/>
        <v>99024</v>
      </c>
      <c r="F116" s="1">
        <f t="shared" ca="1" si="10"/>
        <v>1125050</v>
      </c>
    </row>
    <row r="117" spans="1:6" x14ac:dyDescent="0.3">
      <c r="A117" s="1">
        <v>116</v>
      </c>
      <c r="B117" s="1">
        <f t="shared" ca="1" si="6"/>
        <v>12900</v>
      </c>
      <c r="C117" s="1">
        <f t="shared" ca="1" si="7"/>
        <v>28624</v>
      </c>
      <c r="D117" s="1">
        <f t="shared" ca="1" si="8"/>
        <v>24540</v>
      </c>
      <c r="E117" s="1">
        <f t="shared" ca="1" si="9"/>
        <v>101845</v>
      </c>
      <c r="F117" s="1">
        <f t="shared" ca="1" si="10"/>
        <v>1160634</v>
      </c>
    </row>
    <row r="118" spans="1:6" x14ac:dyDescent="0.3">
      <c r="A118" s="1">
        <v>117</v>
      </c>
      <c r="B118" s="1">
        <f t="shared" ca="1" si="6"/>
        <v>12937</v>
      </c>
      <c r="C118" s="1">
        <f t="shared" ca="1" si="7"/>
        <v>29437</v>
      </c>
      <c r="D118" s="1">
        <f t="shared" ca="1" si="8"/>
        <v>24844</v>
      </c>
      <c r="E118" s="1">
        <f t="shared" ca="1" si="9"/>
        <v>102125</v>
      </c>
      <c r="F118" s="1">
        <f t="shared" ca="1" si="10"/>
        <v>1130523</v>
      </c>
    </row>
    <row r="119" spans="1:6" x14ac:dyDescent="0.3">
      <c r="A119" s="1">
        <v>118</v>
      </c>
      <c r="B119" s="1">
        <f t="shared" ca="1" si="6"/>
        <v>13217</v>
      </c>
      <c r="C119" s="1">
        <f t="shared" ca="1" si="7"/>
        <v>28603</v>
      </c>
      <c r="D119" s="1">
        <f t="shared" ca="1" si="8"/>
        <v>25415</v>
      </c>
      <c r="E119" s="1">
        <f t="shared" ca="1" si="9"/>
        <v>105039</v>
      </c>
      <c r="F119" s="1">
        <f t="shared" ca="1" si="10"/>
        <v>1147573</v>
      </c>
    </row>
    <row r="120" spans="1:6" x14ac:dyDescent="0.3">
      <c r="A120" s="1">
        <v>119</v>
      </c>
      <c r="B120" s="1">
        <f t="shared" ca="1" si="6"/>
        <v>12990</v>
      </c>
      <c r="C120" s="1">
        <f t="shared" ca="1" si="7"/>
        <v>29495</v>
      </c>
      <c r="D120" s="1">
        <f t="shared" ca="1" si="8"/>
        <v>25118</v>
      </c>
      <c r="E120" s="1">
        <f t="shared" ca="1" si="9"/>
        <v>102191</v>
      </c>
      <c r="F120" s="1">
        <f t="shared" ca="1" si="10"/>
        <v>1171114</v>
      </c>
    </row>
    <row r="121" spans="1:6" x14ac:dyDescent="0.3">
      <c r="A121" s="1">
        <v>120</v>
      </c>
      <c r="B121" s="1">
        <f t="shared" ca="1" si="6"/>
        <v>13383</v>
      </c>
      <c r="C121" s="1">
        <f t="shared" ca="1" si="7"/>
        <v>29970</v>
      </c>
      <c r="D121" s="1">
        <f t="shared" ca="1" si="8"/>
        <v>24923</v>
      </c>
      <c r="E121" s="1">
        <f t="shared" ca="1" si="9"/>
        <v>103003</v>
      </c>
      <c r="F121" s="1">
        <f t="shared" ca="1" si="10"/>
        <v>1198606</v>
      </c>
    </row>
    <row r="122" spans="1:6" x14ac:dyDescent="0.3">
      <c r="A122" s="1">
        <v>121</v>
      </c>
      <c r="B122" s="1">
        <f t="shared" ca="1" si="6"/>
        <v>13231</v>
      </c>
      <c r="C122" s="1">
        <f t="shared" ca="1" si="7"/>
        <v>30789</v>
      </c>
      <c r="D122" s="1">
        <f t="shared" ca="1" si="8"/>
        <v>24875</v>
      </c>
      <c r="E122" s="1">
        <f t="shared" ca="1" si="9"/>
        <v>101834</v>
      </c>
      <c r="F122" s="1">
        <f t="shared" ca="1" si="10"/>
        <v>1195726</v>
      </c>
    </row>
    <row r="123" spans="1:6" x14ac:dyDescent="0.3">
      <c r="A123" s="1">
        <v>122</v>
      </c>
      <c r="B123" s="1">
        <f t="shared" ca="1" si="6"/>
        <v>13546</v>
      </c>
      <c r="C123" s="1">
        <f t="shared" ca="1" si="7"/>
        <v>30055</v>
      </c>
      <c r="D123" s="1">
        <f t="shared" ca="1" si="8"/>
        <v>25307</v>
      </c>
      <c r="E123" s="1">
        <f t="shared" ca="1" si="9"/>
        <v>98787</v>
      </c>
      <c r="F123" s="1">
        <f t="shared" ca="1" si="10"/>
        <v>1202536</v>
      </c>
    </row>
    <row r="124" spans="1:6" x14ac:dyDescent="0.3">
      <c r="A124" s="1">
        <v>123</v>
      </c>
      <c r="B124" s="1">
        <f t="shared" ca="1" si="6"/>
        <v>13199</v>
      </c>
      <c r="C124" s="1">
        <f t="shared" ca="1" si="7"/>
        <v>30808</v>
      </c>
      <c r="D124" s="1">
        <f t="shared" ca="1" si="8"/>
        <v>24640</v>
      </c>
      <c r="E124" s="1">
        <f t="shared" ca="1" si="9"/>
        <v>97871</v>
      </c>
      <c r="F124" s="1">
        <f t="shared" ca="1" si="10"/>
        <v>1190698</v>
      </c>
    </row>
    <row r="125" spans="1:6" x14ac:dyDescent="0.3">
      <c r="A125" s="1">
        <v>124</v>
      </c>
      <c r="B125" s="1">
        <f t="shared" ca="1" si="6"/>
        <v>13016</v>
      </c>
      <c r="C125" s="1">
        <f t="shared" ca="1" si="7"/>
        <v>31408</v>
      </c>
      <c r="D125" s="1">
        <f t="shared" ca="1" si="8"/>
        <v>23909</v>
      </c>
      <c r="E125" s="1">
        <f t="shared" ca="1" si="9"/>
        <v>99845</v>
      </c>
      <c r="F125" s="1">
        <f t="shared" ca="1" si="10"/>
        <v>1159425</v>
      </c>
    </row>
    <row r="126" spans="1:6" x14ac:dyDescent="0.3">
      <c r="A126" s="1">
        <v>125</v>
      </c>
      <c r="B126" s="1">
        <f t="shared" ca="1" si="6"/>
        <v>12953</v>
      </c>
      <c r="C126" s="1">
        <f t="shared" ca="1" si="7"/>
        <v>30785</v>
      </c>
      <c r="D126" s="1">
        <f t="shared" ca="1" si="8"/>
        <v>24609</v>
      </c>
      <c r="E126" s="1">
        <f t="shared" ca="1" si="9"/>
        <v>97343</v>
      </c>
      <c r="F126" s="1">
        <f t="shared" ca="1" si="10"/>
        <v>1163585</v>
      </c>
    </row>
    <row r="127" spans="1:6" x14ac:dyDescent="0.3">
      <c r="A127" s="1">
        <v>126</v>
      </c>
      <c r="B127" s="1">
        <f t="shared" ca="1" si="6"/>
        <v>12871</v>
      </c>
      <c r="C127" s="1">
        <f t="shared" ca="1" si="7"/>
        <v>30566</v>
      </c>
      <c r="D127" s="1">
        <f t="shared" ca="1" si="8"/>
        <v>24268</v>
      </c>
      <c r="E127" s="1">
        <f t="shared" ca="1" si="9"/>
        <v>94972</v>
      </c>
      <c r="F127" s="1">
        <f t="shared" ca="1" si="10"/>
        <v>1130160</v>
      </c>
    </row>
    <row r="128" spans="1:6" x14ac:dyDescent="0.3">
      <c r="A128" s="1">
        <v>127</v>
      </c>
      <c r="B128" s="1">
        <f t="shared" ca="1" si="6"/>
        <v>13148</v>
      </c>
      <c r="C128" s="1">
        <f t="shared" ca="1" si="7"/>
        <v>29737</v>
      </c>
      <c r="D128" s="1">
        <f t="shared" ca="1" si="8"/>
        <v>24168</v>
      </c>
      <c r="E128" s="1">
        <f t="shared" ca="1" si="9"/>
        <v>93944</v>
      </c>
      <c r="F128" s="1">
        <f t="shared" ca="1" si="10"/>
        <v>1157525</v>
      </c>
    </row>
    <row r="129" spans="1:6" x14ac:dyDescent="0.3">
      <c r="A129" s="1">
        <v>128</v>
      </c>
      <c r="B129" s="1">
        <f t="shared" ca="1" si="6"/>
        <v>13525</v>
      </c>
      <c r="C129" s="1">
        <f t="shared" ca="1" si="7"/>
        <v>29146</v>
      </c>
      <c r="D129" s="1">
        <f t="shared" ca="1" si="8"/>
        <v>23719</v>
      </c>
      <c r="E129" s="1">
        <f t="shared" ca="1" si="9"/>
        <v>92988</v>
      </c>
      <c r="F129" s="1">
        <f t="shared" ca="1" si="10"/>
        <v>1152477</v>
      </c>
    </row>
    <row r="130" spans="1:6" x14ac:dyDescent="0.3">
      <c r="A130" s="1">
        <v>129</v>
      </c>
      <c r="B130" s="1">
        <f t="shared" ca="1" si="6"/>
        <v>13247</v>
      </c>
      <c r="C130" s="1">
        <f t="shared" ca="1" si="7"/>
        <v>29397</v>
      </c>
      <c r="D130" s="1">
        <f t="shared" ca="1" si="8"/>
        <v>23036</v>
      </c>
      <c r="E130" s="1">
        <f t="shared" ca="1" si="9"/>
        <v>90692</v>
      </c>
      <c r="F130" s="1">
        <f t="shared" ca="1" si="10"/>
        <v>1154873</v>
      </c>
    </row>
    <row r="131" spans="1:6" x14ac:dyDescent="0.3">
      <c r="A131" s="1">
        <v>130</v>
      </c>
      <c r="B131" s="1">
        <f t="shared" ca="1" si="6"/>
        <v>12994</v>
      </c>
      <c r="C131" s="1">
        <f t="shared" ca="1" si="7"/>
        <v>29274</v>
      </c>
      <c r="D131" s="1">
        <f t="shared" ca="1" si="8"/>
        <v>22781</v>
      </c>
      <c r="E131" s="1">
        <f t="shared" ca="1" si="9"/>
        <v>90035</v>
      </c>
      <c r="F131" s="1">
        <f t="shared" ca="1" si="10"/>
        <v>1177393</v>
      </c>
    </row>
    <row r="132" spans="1:6" x14ac:dyDescent="0.3">
      <c r="A132" s="1">
        <v>131</v>
      </c>
      <c r="B132" s="1">
        <f t="shared" ref="B132:B195" ca="1" si="11">RANDBETWEEN(B131*0.97, B131*1.033)</f>
        <v>12993</v>
      </c>
      <c r="C132" s="1">
        <f t="shared" ref="C132:C195" ca="1" si="12">RANDBETWEEN(C131*0.97, C131*1.033)</f>
        <v>30200</v>
      </c>
      <c r="D132" s="1">
        <f t="shared" ref="D132:D195" ca="1" si="13">RANDBETWEEN(D131*0.97, D131*1.033)</f>
        <v>22344</v>
      </c>
      <c r="E132" s="1">
        <f t="shared" ref="E132:E195" ca="1" si="14">RANDBETWEEN(E131*0.97, E131*1.033)</f>
        <v>88949</v>
      </c>
      <c r="F132" s="1">
        <f t="shared" ref="F132:F195" ca="1" si="15">RANDBETWEEN(F131*0.97, F131*1.033)</f>
        <v>1143970</v>
      </c>
    </row>
    <row r="133" spans="1:6" x14ac:dyDescent="0.3">
      <c r="A133" s="1">
        <v>132</v>
      </c>
      <c r="B133" s="1">
        <f t="shared" ca="1" si="11"/>
        <v>13384</v>
      </c>
      <c r="C133" s="1">
        <f t="shared" ca="1" si="12"/>
        <v>30852</v>
      </c>
      <c r="D133" s="1">
        <f t="shared" ca="1" si="13"/>
        <v>22620</v>
      </c>
      <c r="E133" s="1">
        <f t="shared" ca="1" si="14"/>
        <v>87883</v>
      </c>
      <c r="F133" s="1">
        <f t="shared" ca="1" si="15"/>
        <v>1164390</v>
      </c>
    </row>
    <row r="134" spans="1:6" x14ac:dyDescent="0.3">
      <c r="A134" s="1">
        <v>133</v>
      </c>
      <c r="B134" s="1">
        <f t="shared" ca="1" si="11"/>
        <v>13377</v>
      </c>
      <c r="C134" s="1">
        <f t="shared" ca="1" si="12"/>
        <v>30031</v>
      </c>
      <c r="D134" s="1">
        <f t="shared" ca="1" si="13"/>
        <v>22623</v>
      </c>
      <c r="E134" s="1">
        <f t="shared" ca="1" si="14"/>
        <v>90547</v>
      </c>
      <c r="F134" s="1">
        <f t="shared" ca="1" si="15"/>
        <v>1183740</v>
      </c>
    </row>
    <row r="135" spans="1:6" x14ac:dyDescent="0.3">
      <c r="A135" s="1">
        <v>134</v>
      </c>
      <c r="B135" s="1">
        <f t="shared" ca="1" si="11"/>
        <v>13701</v>
      </c>
      <c r="C135" s="1">
        <f t="shared" ca="1" si="12"/>
        <v>30772</v>
      </c>
      <c r="D135" s="1">
        <f t="shared" ca="1" si="13"/>
        <v>22507</v>
      </c>
      <c r="E135" s="1">
        <f t="shared" ca="1" si="14"/>
        <v>91127</v>
      </c>
      <c r="F135" s="1">
        <f t="shared" ca="1" si="15"/>
        <v>1180923</v>
      </c>
    </row>
    <row r="136" spans="1:6" x14ac:dyDescent="0.3">
      <c r="A136" s="1">
        <v>135</v>
      </c>
      <c r="B136" s="1">
        <f t="shared" ca="1" si="11"/>
        <v>13661</v>
      </c>
      <c r="C136" s="1">
        <f t="shared" ca="1" si="12"/>
        <v>31308</v>
      </c>
      <c r="D136" s="1">
        <f t="shared" ca="1" si="13"/>
        <v>23230</v>
      </c>
      <c r="E136" s="1">
        <f t="shared" ca="1" si="14"/>
        <v>91814</v>
      </c>
      <c r="F136" s="1">
        <f t="shared" ca="1" si="15"/>
        <v>1199273</v>
      </c>
    </row>
    <row r="137" spans="1:6" x14ac:dyDescent="0.3">
      <c r="A137" s="1">
        <v>136</v>
      </c>
      <c r="B137" s="1">
        <f t="shared" ca="1" si="11"/>
        <v>14090</v>
      </c>
      <c r="C137" s="1">
        <f t="shared" ca="1" si="12"/>
        <v>30435</v>
      </c>
      <c r="D137" s="1">
        <f t="shared" ca="1" si="13"/>
        <v>22607</v>
      </c>
      <c r="E137" s="1">
        <f t="shared" ca="1" si="14"/>
        <v>92270</v>
      </c>
      <c r="F137" s="1">
        <f t="shared" ca="1" si="15"/>
        <v>1229138</v>
      </c>
    </row>
    <row r="138" spans="1:6" x14ac:dyDescent="0.3">
      <c r="A138" s="1">
        <v>137</v>
      </c>
      <c r="B138" s="1">
        <f t="shared" ca="1" si="11"/>
        <v>13802</v>
      </c>
      <c r="C138" s="1">
        <f t="shared" ca="1" si="12"/>
        <v>30065</v>
      </c>
      <c r="D138" s="1">
        <f t="shared" ca="1" si="13"/>
        <v>23177</v>
      </c>
      <c r="E138" s="1">
        <f t="shared" ca="1" si="14"/>
        <v>91701</v>
      </c>
      <c r="F138" s="1">
        <f t="shared" ca="1" si="15"/>
        <v>1206394</v>
      </c>
    </row>
    <row r="139" spans="1:6" x14ac:dyDescent="0.3">
      <c r="A139" s="1">
        <v>138</v>
      </c>
      <c r="B139" s="1">
        <f t="shared" ca="1" si="11"/>
        <v>13915</v>
      </c>
      <c r="C139" s="1">
        <f t="shared" ca="1" si="12"/>
        <v>30331</v>
      </c>
      <c r="D139" s="1">
        <f t="shared" ca="1" si="13"/>
        <v>23812</v>
      </c>
      <c r="E139" s="1">
        <f t="shared" ca="1" si="14"/>
        <v>93122</v>
      </c>
      <c r="F139" s="1">
        <f t="shared" ca="1" si="15"/>
        <v>1230182</v>
      </c>
    </row>
    <row r="140" spans="1:6" x14ac:dyDescent="0.3">
      <c r="A140" s="1">
        <v>139</v>
      </c>
      <c r="B140" s="1">
        <f t="shared" ca="1" si="11"/>
        <v>14095</v>
      </c>
      <c r="C140" s="1">
        <f t="shared" ca="1" si="12"/>
        <v>30836</v>
      </c>
      <c r="D140" s="1">
        <f t="shared" ca="1" si="13"/>
        <v>23142</v>
      </c>
      <c r="E140" s="1">
        <f t="shared" ca="1" si="14"/>
        <v>94070</v>
      </c>
      <c r="F140" s="1">
        <f t="shared" ca="1" si="15"/>
        <v>1239304</v>
      </c>
    </row>
    <row r="141" spans="1:6" x14ac:dyDescent="0.3">
      <c r="A141" s="1">
        <v>140</v>
      </c>
      <c r="B141" s="1">
        <f t="shared" ca="1" si="11"/>
        <v>13937</v>
      </c>
      <c r="C141" s="1">
        <f t="shared" ca="1" si="12"/>
        <v>30322</v>
      </c>
      <c r="D141" s="1">
        <f t="shared" ca="1" si="13"/>
        <v>23276</v>
      </c>
      <c r="E141" s="1">
        <f t="shared" ca="1" si="14"/>
        <v>91956</v>
      </c>
      <c r="F141" s="1">
        <f t="shared" ca="1" si="15"/>
        <v>1225719</v>
      </c>
    </row>
    <row r="142" spans="1:6" x14ac:dyDescent="0.3">
      <c r="A142" s="1">
        <v>141</v>
      </c>
      <c r="B142" s="1">
        <f t="shared" ca="1" si="11"/>
        <v>13894</v>
      </c>
      <c r="C142" s="1">
        <f t="shared" ca="1" si="12"/>
        <v>29874</v>
      </c>
      <c r="D142" s="1">
        <f t="shared" ca="1" si="13"/>
        <v>23558</v>
      </c>
      <c r="E142" s="1">
        <f t="shared" ca="1" si="14"/>
        <v>90447</v>
      </c>
      <c r="F142" s="1">
        <f t="shared" ca="1" si="15"/>
        <v>1232319</v>
      </c>
    </row>
    <row r="143" spans="1:6" x14ac:dyDescent="0.3">
      <c r="A143" s="1">
        <v>142</v>
      </c>
      <c r="B143" s="1">
        <f t="shared" ca="1" si="11"/>
        <v>14006</v>
      </c>
      <c r="C143" s="1">
        <f t="shared" ca="1" si="12"/>
        <v>29841</v>
      </c>
      <c r="D143" s="1">
        <f t="shared" ca="1" si="13"/>
        <v>22869</v>
      </c>
      <c r="E143" s="1">
        <f t="shared" ca="1" si="14"/>
        <v>93304</v>
      </c>
      <c r="F143" s="1">
        <f t="shared" ca="1" si="15"/>
        <v>1251375</v>
      </c>
    </row>
    <row r="144" spans="1:6" x14ac:dyDescent="0.3">
      <c r="A144" s="1">
        <v>143</v>
      </c>
      <c r="B144" s="1">
        <f t="shared" ca="1" si="11"/>
        <v>14420</v>
      </c>
      <c r="C144" s="1">
        <f t="shared" ca="1" si="12"/>
        <v>30694</v>
      </c>
      <c r="D144" s="1">
        <f t="shared" ca="1" si="13"/>
        <v>22559</v>
      </c>
      <c r="E144" s="1">
        <f t="shared" ca="1" si="14"/>
        <v>91539</v>
      </c>
      <c r="F144" s="1">
        <f t="shared" ca="1" si="15"/>
        <v>1223763</v>
      </c>
    </row>
    <row r="145" spans="1:6" x14ac:dyDescent="0.3">
      <c r="A145" s="1">
        <v>144</v>
      </c>
      <c r="B145" s="1">
        <f t="shared" ca="1" si="11"/>
        <v>14454</v>
      </c>
      <c r="C145" s="1">
        <f t="shared" ca="1" si="12"/>
        <v>31200</v>
      </c>
      <c r="D145" s="1">
        <f t="shared" ca="1" si="13"/>
        <v>21996</v>
      </c>
      <c r="E145" s="1">
        <f t="shared" ca="1" si="14"/>
        <v>91717</v>
      </c>
      <c r="F145" s="1">
        <f t="shared" ca="1" si="15"/>
        <v>1212028</v>
      </c>
    </row>
    <row r="146" spans="1:6" x14ac:dyDescent="0.3">
      <c r="A146" s="1">
        <v>145</v>
      </c>
      <c r="B146" s="1">
        <f t="shared" ca="1" si="11"/>
        <v>14863</v>
      </c>
      <c r="C146" s="1">
        <f t="shared" ca="1" si="12"/>
        <v>30296</v>
      </c>
      <c r="D146" s="1">
        <f t="shared" ca="1" si="13"/>
        <v>22341</v>
      </c>
      <c r="E146" s="1">
        <f t="shared" ca="1" si="14"/>
        <v>90951</v>
      </c>
      <c r="F146" s="1">
        <f t="shared" ca="1" si="15"/>
        <v>1210986</v>
      </c>
    </row>
    <row r="147" spans="1:6" x14ac:dyDescent="0.3">
      <c r="A147" s="1">
        <v>146</v>
      </c>
      <c r="B147" s="1">
        <f t="shared" ca="1" si="11"/>
        <v>14540</v>
      </c>
      <c r="C147" s="1">
        <f t="shared" ca="1" si="12"/>
        <v>31268</v>
      </c>
      <c r="D147" s="1">
        <f t="shared" ca="1" si="13"/>
        <v>22629</v>
      </c>
      <c r="E147" s="1">
        <f t="shared" ca="1" si="14"/>
        <v>89612</v>
      </c>
      <c r="F147" s="1">
        <f t="shared" ca="1" si="15"/>
        <v>1226102</v>
      </c>
    </row>
    <row r="148" spans="1:6" x14ac:dyDescent="0.3">
      <c r="A148" s="1">
        <v>147</v>
      </c>
      <c r="B148" s="1">
        <f t="shared" ca="1" si="11"/>
        <v>14675</v>
      </c>
      <c r="C148" s="1">
        <f t="shared" ca="1" si="12"/>
        <v>32238</v>
      </c>
      <c r="D148" s="1">
        <f t="shared" ca="1" si="13"/>
        <v>22201</v>
      </c>
      <c r="E148" s="1">
        <f t="shared" ca="1" si="14"/>
        <v>88458</v>
      </c>
      <c r="F148" s="1">
        <f t="shared" ca="1" si="15"/>
        <v>1236070</v>
      </c>
    </row>
    <row r="149" spans="1:6" x14ac:dyDescent="0.3">
      <c r="A149" s="1">
        <v>148</v>
      </c>
      <c r="B149" s="1">
        <f t="shared" ca="1" si="11"/>
        <v>14912</v>
      </c>
      <c r="C149" s="1">
        <f t="shared" ca="1" si="12"/>
        <v>31974</v>
      </c>
      <c r="D149" s="1">
        <f t="shared" ca="1" si="13"/>
        <v>21682</v>
      </c>
      <c r="E149" s="1">
        <f t="shared" ca="1" si="14"/>
        <v>88538</v>
      </c>
      <c r="F149" s="1">
        <f t="shared" ca="1" si="15"/>
        <v>1269594</v>
      </c>
    </row>
    <row r="150" spans="1:6" x14ac:dyDescent="0.3">
      <c r="A150" s="1">
        <v>149</v>
      </c>
      <c r="B150" s="1">
        <f t="shared" ca="1" si="11"/>
        <v>14555</v>
      </c>
      <c r="C150" s="1">
        <f t="shared" ca="1" si="12"/>
        <v>31685</v>
      </c>
      <c r="D150" s="1">
        <f t="shared" ca="1" si="13"/>
        <v>21042</v>
      </c>
      <c r="E150" s="1">
        <f t="shared" ca="1" si="14"/>
        <v>87284</v>
      </c>
      <c r="F150" s="1">
        <f t="shared" ca="1" si="15"/>
        <v>1262349</v>
      </c>
    </row>
    <row r="151" spans="1:6" x14ac:dyDescent="0.3">
      <c r="A151" s="1">
        <v>150</v>
      </c>
      <c r="B151" s="1">
        <f t="shared" ca="1" si="11"/>
        <v>14377</v>
      </c>
      <c r="C151" s="1">
        <f t="shared" ca="1" si="12"/>
        <v>32278</v>
      </c>
      <c r="D151" s="1">
        <f t="shared" ca="1" si="13"/>
        <v>21031</v>
      </c>
      <c r="E151" s="1">
        <f t="shared" ca="1" si="14"/>
        <v>86555</v>
      </c>
      <c r="F151" s="1">
        <f t="shared" ca="1" si="15"/>
        <v>1282726</v>
      </c>
    </row>
    <row r="152" spans="1:6" x14ac:dyDescent="0.3">
      <c r="A152" s="1">
        <v>151</v>
      </c>
      <c r="B152" s="1">
        <f t="shared" ca="1" si="11"/>
        <v>14341</v>
      </c>
      <c r="C152" s="1">
        <f t="shared" ca="1" si="12"/>
        <v>31574</v>
      </c>
      <c r="D152" s="1">
        <f t="shared" ca="1" si="13"/>
        <v>21184</v>
      </c>
      <c r="E152" s="1">
        <f t="shared" ca="1" si="14"/>
        <v>84095</v>
      </c>
      <c r="F152" s="1">
        <f t="shared" ca="1" si="15"/>
        <v>1304652</v>
      </c>
    </row>
    <row r="153" spans="1:6" x14ac:dyDescent="0.3">
      <c r="A153" s="1">
        <v>152</v>
      </c>
      <c r="B153" s="1">
        <f t="shared" ca="1" si="11"/>
        <v>14357</v>
      </c>
      <c r="C153" s="1">
        <f t="shared" ca="1" si="12"/>
        <v>32311</v>
      </c>
      <c r="D153" s="1">
        <f t="shared" ca="1" si="13"/>
        <v>20559</v>
      </c>
      <c r="E153" s="1">
        <f t="shared" ca="1" si="14"/>
        <v>86746</v>
      </c>
      <c r="F153" s="1">
        <f t="shared" ca="1" si="15"/>
        <v>1319503</v>
      </c>
    </row>
    <row r="154" spans="1:6" x14ac:dyDescent="0.3">
      <c r="A154" s="1">
        <v>153</v>
      </c>
      <c r="B154" s="1">
        <f t="shared" ca="1" si="11"/>
        <v>14467</v>
      </c>
      <c r="C154" s="1">
        <f t="shared" ca="1" si="12"/>
        <v>31362</v>
      </c>
      <c r="D154" s="1">
        <f t="shared" ca="1" si="13"/>
        <v>20042</v>
      </c>
      <c r="E154" s="1">
        <f t="shared" ca="1" si="14"/>
        <v>88003</v>
      </c>
      <c r="F154" s="1">
        <f t="shared" ca="1" si="15"/>
        <v>1338736</v>
      </c>
    </row>
    <row r="155" spans="1:6" x14ac:dyDescent="0.3">
      <c r="A155" s="1">
        <v>154</v>
      </c>
      <c r="B155" s="1">
        <f t="shared" ca="1" si="11"/>
        <v>14786</v>
      </c>
      <c r="C155" s="1">
        <f t="shared" ca="1" si="12"/>
        <v>31505</v>
      </c>
      <c r="D155" s="1">
        <f t="shared" ca="1" si="13"/>
        <v>20595</v>
      </c>
      <c r="E155" s="1">
        <f t="shared" ca="1" si="14"/>
        <v>85628</v>
      </c>
      <c r="F155" s="1">
        <f t="shared" ca="1" si="15"/>
        <v>1343174</v>
      </c>
    </row>
    <row r="156" spans="1:6" x14ac:dyDescent="0.3">
      <c r="A156" s="1">
        <v>155</v>
      </c>
      <c r="B156" s="1">
        <f t="shared" ca="1" si="11"/>
        <v>14405</v>
      </c>
      <c r="C156" s="1">
        <f t="shared" ca="1" si="12"/>
        <v>30940</v>
      </c>
      <c r="D156" s="1">
        <f t="shared" ca="1" si="13"/>
        <v>20655</v>
      </c>
      <c r="E156" s="1">
        <f t="shared" ca="1" si="14"/>
        <v>88262</v>
      </c>
      <c r="F156" s="1">
        <f t="shared" ca="1" si="15"/>
        <v>1374533</v>
      </c>
    </row>
    <row r="157" spans="1:6" x14ac:dyDescent="0.3">
      <c r="A157" s="1">
        <v>156</v>
      </c>
      <c r="B157" s="1">
        <f t="shared" ca="1" si="11"/>
        <v>14742</v>
      </c>
      <c r="C157" s="1">
        <f t="shared" ca="1" si="12"/>
        <v>31635</v>
      </c>
      <c r="D157" s="1">
        <f t="shared" ca="1" si="13"/>
        <v>20545</v>
      </c>
      <c r="E157" s="1">
        <f t="shared" ca="1" si="14"/>
        <v>88249</v>
      </c>
      <c r="F157" s="1">
        <f t="shared" ca="1" si="15"/>
        <v>1378173</v>
      </c>
    </row>
    <row r="158" spans="1:6" x14ac:dyDescent="0.3">
      <c r="A158" s="1">
        <v>157</v>
      </c>
      <c r="B158" s="1">
        <f t="shared" ca="1" si="11"/>
        <v>14610</v>
      </c>
      <c r="C158" s="1">
        <f t="shared" ca="1" si="12"/>
        <v>32116</v>
      </c>
      <c r="D158" s="1">
        <f t="shared" ca="1" si="13"/>
        <v>20275</v>
      </c>
      <c r="E158" s="1">
        <f t="shared" ca="1" si="14"/>
        <v>90944</v>
      </c>
      <c r="F158" s="1">
        <f t="shared" ca="1" si="15"/>
        <v>1401678</v>
      </c>
    </row>
    <row r="159" spans="1:6" x14ac:dyDescent="0.3">
      <c r="A159" s="1">
        <v>158</v>
      </c>
      <c r="B159" s="1">
        <f t="shared" ca="1" si="11"/>
        <v>15041</v>
      </c>
      <c r="C159" s="1">
        <f t="shared" ca="1" si="12"/>
        <v>31654</v>
      </c>
      <c r="D159" s="1">
        <f t="shared" ca="1" si="13"/>
        <v>19854</v>
      </c>
      <c r="E159" s="1">
        <f t="shared" ca="1" si="14"/>
        <v>92391</v>
      </c>
      <c r="F159" s="1">
        <f t="shared" ca="1" si="15"/>
        <v>1380804</v>
      </c>
    </row>
    <row r="160" spans="1:6" x14ac:dyDescent="0.3">
      <c r="A160" s="1">
        <v>159</v>
      </c>
      <c r="B160" s="1">
        <f t="shared" ca="1" si="11"/>
        <v>15285</v>
      </c>
      <c r="C160" s="1">
        <f t="shared" ca="1" si="12"/>
        <v>31035</v>
      </c>
      <c r="D160" s="1">
        <f t="shared" ca="1" si="13"/>
        <v>20253</v>
      </c>
      <c r="E160" s="1">
        <f t="shared" ca="1" si="14"/>
        <v>89785</v>
      </c>
      <c r="F160" s="1">
        <f t="shared" ca="1" si="15"/>
        <v>1347965</v>
      </c>
    </row>
    <row r="161" spans="1:6" x14ac:dyDescent="0.3">
      <c r="A161" s="1">
        <v>160</v>
      </c>
      <c r="B161" s="1">
        <f t="shared" ca="1" si="11"/>
        <v>15197</v>
      </c>
      <c r="C161" s="1">
        <f t="shared" ca="1" si="12"/>
        <v>30599</v>
      </c>
      <c r="D161" s="1">
        <f t="shared" ca="1" si="13"/>
        <v>20837</v>
      </c>
      <c r="E161" s="1">
        <f t="shared" ca="1" si="14"/>
        <v>89987</v>
      </c>
      <c r="F161" s="1">
        <f t="shared" ca="1" si="15"/>
        <v>1336725</v>
      </c>
    </row>
    <row r="162" spans="1:6" x14ac:dyDescent="0.3">
      <c r="A162" s="1">
        <v>161</v>
      </c>
      <c r="B162" s="1">
        <f t="shared" ca="1" si="11"/>
        <v>15636</v>
      </c>
      <c r="C162" s="1">
        <f t="shared" ca="1" si="12"/>
        <v>30784</v>
      </c>
      <c r="D162" s="1">
        <f t="shared" ca="1" si="13"/>
        <v>21209</v>
      </c>
      <c r="E162" s="1">
        <f t="shared" ca="1" si="14"/>
        <v>92357</v>
      </c>
      <c r="F162" s="1">
        <f t="shared" ca="1" si="15"/>
        <v>1339832</v>
      </c>
    </row>
    <row r="163" spans="1:6" x14ac:dyDescent="0.3">
      <c r="A163" s="1">
        <v>162</v>
      </c>
      <c r="B163" s="1">
        <f t="shared" ca="1" si="11"/>
        <v>15594</v>
      </c>
      <c r="C163" s="1">
        <f t="shared" ca="1" si="12"/>
        <v>30750</v>
      </c>
      <c r="D163" s="1">
        <f t="shared" ca="1" si="13"/>
        <v>21180</v>
      </c>
      <c r="E163" s="1">
        <f t="shared" ca="1" si="14"/>
        <v>90732</v>
      </c>
      <c r="F163" s="1">
        <f t="shared" ca="1" si="15"/>
        <v>1375679</v>
      </c>
    </row>
    <row r="164" spans="1:6" x14ac:dyDescent="0.3">
      <c r="A164" s="1">
        <v>163</v>
      </c>
      <c r="B164" s="1">
        <f t="shared" ca="1" si="11"/>
        <v>15744</v>
      </c>
      <c r="C164" s="1">
        <f t="shared" ca="1" si="12"/>
        <v>31346</v>
      </c>
      <c r="D164" s="1">
        <f t="shared" ca="1" si="13"/>
        <v>21194</v>
      </c>
      <c r="E164" s="1">
        <f t="shared" ca="1" si="14"/>
        <v>88574</v>
      </c>
      <c r="F164" s="1">
        <f t="shared" ca="1" si="15"/>
        <v>1408127</v>
      </c>
    </row>
    <row r="165" spans="1:6" x14ac:dyDescent="0.3">
      <c r="A165" s="1">
        <v>164</v>
      </c>
      <c r="B165" s="1">
        <f t="shared" ca="1" si="11"/>
        <v>15284</v>
      </c>
      <c r="C165" s="1">
        <f t="shared" ca="1" si="12"/>
        <v>32250</v>
      </c>
      <c r="D165" s="1">
        <f t="shared" ca="1" si="13"/>
        <v>21723</v>
      </c>
      <c r="E165" s="1">
        <f t="shared" ca="1" si="14"/>
        <v>89849</v>
      </c>
      <c r="F165" s="1">
        <f t="shared" ca="1" si="15"/>
        <v>1443073</v>
      </c>
    </row>
    <row r="166" spans="1:6" x14ac:dyDescent="0.3">
      <c r="A166" s="1">
        <v>165</v>
      </c>
      <c r="B166" s="1">
        <f t="shared" ca="1" si="11"/>
        <v>15292</v>
      </c>
      <c r="C166" s="1">
        <f t="shared" ca="1" si="12"/>
        <v>32884</v>
      </c>
      <c r="D166" s="1">
        <f t="shared" ca="1" si="13"/>
        <v>21507</v>
      </c>
      <c r="E166" s="1">
        <f t="shared" ca="1" si="14"/>
        <v>88911</v>
      </c>
      <c r="F166" s="1">
        <f t="shared" ca="1" si="15"/>
        <v>1434241</v>
      </c>
    </row>
    <row r="167" spans="1:6" x14ac:dyDescent="0.3">
      <c r="A167" s="1">
        <v>166</v>
      </c>
      <c r="B167" s="1">
        <f t="shared" ca="1" si="11"/>
        <v>15151</v>
      </c>
      <c r="C167" s="1">
        <f t="shared" ca="1" si="12"/>
        <v>33211</v>
      </c>
      <c r="D167" s="1">
        <f t="shared" ca="1" si="13"/>
        <v>22010</v>
      </c>
      <c r="E167" s="1">
        <f t="shared" ca="1" si="14"/>
        <v>91314</v>
      </c>
      <c r="F167" s="1">
        <f t="shared" ca="1" si="15"/>
        <v>1442090</v>
      </c>
    </row>
    <row r="168" spans="1:6" x14ac:dyDescent="0.3">
      <c r="A168" s="1">
        <v>167</v>
      </c>
      <c r="B168" s="1">
        <f t="shared" ca="1" si="11"/>
        <v>15077</v>
      </c>
      <c r="C168" s="1">
        <f t="shared" ca="1" si="12"/>
        <v>33255</v>
      </c>
      <c r="D168" s="1">
        <f t="shared" ca="1" si="13"/>
        <v>22275</v>
      </c>
      <c r="E168" s="1">
        <f t="shared" ca="1" si="14"/>
        <v>90708</v>
      </c>
      <c r="F168" s="1">
        <f t="shared" ca="1" si="15"/>
        <v>1401527</v>
      </c>
    </row>
    <row r="169" spans="1:6" x14ac:dyDescent="0.3">
      <c r="A169" s="1">
        <v>168</v>
      </c>
      <c r="B169" s="1">
        <f t="shared" ca="1" si="11"/>
        <v>14765</v>
      </c>
      <c r="C169" s="1">
        <f t="shared" ca="1" si="12"/>
        <v>33805</v>
      </c>
      <c r="D169" s="1">
        <f t="shared" ca="1" si="13"/>
        <v>22021</v>
      </c>
      <c r="E169" s="1">
        <f t="shared" ca="1" si="14"/>
        <v>93451</v>
      </c>
      <c r="F169" s="1">
        <f t="shared" ca="1" si="15"/>
        <v>1422317</v>
      </c>
    </row>
    <row r="170" spans="1:6" x14ac:dyDescent="0.3">
      <c r="A170" s="1">
        <v>169</v>
      </c>
      <c r="B170" s="1">
        <f t="shared" ca="1" si="11"/>
        <v>14370</v>
      </c>
      <c r="C170" s="1">
        <f t="shared" ca="1" si="12"/>
        <v>33196</v>
      </c>
      <c r="D170" s="1">
        <f t="shared" ca="1" si="13"/>
        <v>21724</v>
      </c>
      <c r="E170" s="1">
        <f t="shared" ca="1" si="14"/>
        <v>91385</v>
      </c>
      <c r="F170" s="1">
        <f t="shared" ca="1" si="15"/>
        <v>1420532</v>
      </c>
    </row>
    <row r="171" spans="1:6" x14ac:dyDescent="0.3">
      <c r="A171" s="1">
        <v>170</v>
      </c>
      <c r="B171" s="1">
        <f t="shared" ca="1" si="11"/>
        <v>14771</v>
      </c>
      <c r="C171" s="1">
        <f t="shared" ca="1" si="12"/>
        <v>32221</v>
      </c>
      <c r="D171" s="1">
        <f t="shared" ca="1" si="13"/>
        <v>21938</v>
      </c>
      <c r="E171" s="1">
        <f t="shared" ca="1" si="14"/>
        <v>89026</v>
      </c>
      <c r="F171" s="1">
        <f t="shared" ca="1" si="15"/>
        <v>1381780</v>
      </c>
    </row>
    <row r="172" spans="1:6" x14ac:dyDescent="0.3">
      <c r="A172" s="1">
        <v>171</v>
      </c>
      <c r="B172" s="1">
        <f t="shared" ca="1" si="11"/>
        <v>14490</v>
      </c>
      <c r="C172" s="1">
        <f t="shared" ca="1" si="12"/>
        <v>32485</v>
      </c>
      <c r="D172" s="1">
        <f t="shared" ca="1" si="13"/>
        <v>21752</v>
      </c>
      <c r="E172" s="1">
        <f t="shared" ca="1" si="14"/>
        <v>90845</v>
      </c>
      <c r="F172" s="1">
        <f t="shared" ca="1" si="15"/>
        <v>1355627</v>
      </c>
    </row>
    <row r="173" spans="1:6" x14ac:dyDescent="0.3">
      <c r="A173" s="1">
        <v>172</v>
      </c>
      <c r="B173" s="1">
        <f t="shared" ca="1" si="11"/>
        <v>14140</v>
      </c>
      <c r="C173" s="1">
        <f t="shared" ca="1" si="12"/>
        <v>32045</v>
      </c>
      <c r="D173" s="1">
        <f t="shared" ca="1" si="13"/>
        <v>21930</v>
      </c>
      <c r="E173" s="1">
        <f t="shared" ca="1" si="14"/>
        <v>91216</v>
      </c>
      <c r="F173" s="1">
        <f t="shared" ca="1" si="15"/>
        <v>1387769</v>
      </c>
    </row>
    <row r="174" spans="1:6" x14ac:dyDescent="0.3">
      <c r="A174" s="1">
        <v>173</v>
      </c>
      <c r="B174" s="1">
        <f t="shared" ca="1" si="11"/>
        <v>14268</v>
      </c>
      <c r="C174" s="1">
        <f t="shared" ca="1" si="12"/>
        <v>31836</v>
      </c>
      <c r="D174" s="1">
        <f t="shared" ca="1" si="13"/>
        <v>21615</v>
      </c>
      <c r="E174" s="1">
        <f t="shared" ca="1" si="14"/>
        <v>91566</v>
      </c>
      <c r="F174" s="1">
        <f t="shared" ca="1" si="15"/>
        <v>1379936</v>
      </c>
    </row>
    <row r="175" spans="1:6" x14ac:dyDescent="0.3">
      <c r="A175" s="1">
        <v>174</v>
      </c>
      <c r="B175" s="1">
        <f t="shared" ca="1" si="11"/>
        <v>13990</v>
      </c>
      <c r="C175" s="1">
        <f t="shared" ca="1" si="12"/>
        <v>30963</v>
      </c>
      <c r="D175" s="1">
        <f t="shared" ca="1" si="13"/>
        <v>21708</v>
      </c>
      <c r="E175" s="1">
        <f t="shared" ca="1" si="14"/>
        <v>91807</v>
      </c>
      <c r="F175" s="1">
        <f t="shared" ca="1" si="15"/>
        <v>1368572</v>
      </c>
    </row>
    <row r="176" spans="1:6" x14ac:dyDescent="0.3">
      <c r="A176" s="1">
        <v>175</v>
      </c>
      <c r="B176" s="1">
        <f t="shared" ca="1" si="11"/>
        <v>13844</v>
      </c>
      <c r="C176" s="1">
        <f t="shared" ca="1" si="12"/>
        <v>31683</v>
      </c>
      <c r="D176" s="1">
        <f t="shared" ca="1" si="13"/>
        <v>22102</v>
      </c>
      <c r="E176" s="1">
        <f t="shared" ca="1" si="14"/>
        <v>89159</v>
      </c>
      <c r="F176" s="1">
        <f t="shared" ca="1" si="15"/>
        <v>1339379</v>
      </c>
    </row>
    <row r="177" spans="1:6" x14ac:dyDescent="0.3">
      <c r="A177" s="1">
        <v>176</v>
      </c>
      <c r="B177" s="1">
        <f t="shared" ca="1" si="11"/>
        <v>14160</v>
      </c>
      <c r="C177" s="1">
        <f t="shared" ca="1" si="12"/>
        <v>31134</v>
      </c>
      <c r="D177" s="1">
        <f t="shared" ca="1" si="13"/>
        <v>21545</v>
      </c>
      <c r="E177" s="1">
        <f t="shared" ca="1" si="14"/>
        <v>88378</v>
      </c>
      <c r="F177" s="1">
        <f t="shared" ca="1" si="15"/>
        <v>1370782</v>
      </c>
    </row>
    <row r="178" spans="1:6" x14ac:dyDescent="0.3">
      <c r="A178" s="1">
        <v>177</v>
      </c>
      <c r="B178" s="1">
        <f t="shared" ca="1" si="11"/>
        <v>14146</v>
      </c>
      <c r="C178" s="1">
        <f t="shared" ca="1" si="12"/>
        <v>30521</v>
      </c>
      <c r="D178" s="1">
        <f t="shared" ca="1" si="13"/>
        <v>22207</v>
      </c>
      <c r="E178" s="1">
        <f t="shared" ca="1" si="14"/>
        <v>86299</v>
      </c>
      <c r="F178" s="1">
        <f t="shared" ca="1" si="15"/>
        <v>1336973</v>
      </c>
    </row>
    <row r="179" spans="1:6" x14ac:dyDescent="0.3">
      <c r="A179" s="1">
        <v>178</v>
      </c>
      <c r="B179" s="1">
        <f t="shared" ca="1" si="11"/>
        <v>14261</v>
      </c>
      <c r="C179" s="1">
        <f t="shared" ca="1" si="12"/>
        <v>31055</v>
      </c>
      <c r="D179" s="1">
        <f t="shared" ca="1" si="13"/>
        <v>22305</v>
      </c>
      <c r="E179" s="1">
        <f t="shared" ca="1" si="14"/>
        <v>88761</v>
      </c>
      <c r="F179" s="1">
        <f t="shared" ca="1" si="15"/>
        <v>1347338</v>
      </c>
    </row>
    <row r="180" spans="1:6" x14ac:dyDescent="0.3">
      <c r="A180" s="1">
        <v>179</v>
      </c>
      <c r="B180" s="1">
        <f t="shared" ca="1" si="11"/>
        <v>14663</v>
      </c>
      <c r="C180" s="1">
        <f t="shared" ca="1" si="12"/>
        <v>30232</v>
      </c>
      <c r="D180" s="1">
        <f t="shared" ca="1" si="13"/>
        <v>21845</v>
      </c>
      <c r="E180" s="1">
        <f t="shared" ca="1" si="14"/>
        <v>88735</v>
      </c>
      <c r="F180" s="1">
        <f t="shared" ca="1" si="15"/>
        <v>1328164</v>
      </c>
    </row>
    <row r="181" spans="1:6" x14ac:dyDescent="0.3">
      <c r="A181" s="1">
        <v>180</v>
      </c>
      <c r="B181" s="1">
        <f t="shared" ca="1" si="11"/>
        <v>14241</v>
      </c>
      <c r="C181" s="1">
        <f t="shared" ca="1" si="12"/>
        <v>30160</v>
      </c>
      <c r="D181" s="1">
        <f t="shared" ca="1" si="13"/>
        <v>22533</v>
      </c>
      <c r="E181" s="1">
        <f t="shared" ca="1" si="14"/>
        <v>87021</v>
      </c>
      <c r="F181" s="1">
        <f t="shared" ca="1" si="15"/>
        <v>1371907</v>
      </c>
    </row>
    <row r="182" spans="1:6" x14ac:dyDescent="0.3">
      <c r="A182" s="1">
        <v>181</v>
      </c>
      <c r="B182" s="1">
        <f t="shared" ca="1" si="11"/>
        <v>14038</v>
      </c>
      <c r="C182" s="1">
        <f t="shared" ca="1" si="12"/>
        <v>29261</v>
      </c>
      <c r="D182" s="1">
        <f t="shared" ca="1" si="13"/>
        <v>22371</v>
      </c>
      <c r="E182" s="1">
        <f t="shared" ca="1" si="14"/>
        <v>86973</v>
      </c>
      <c r="F182" s="1">
        <f t="shared" ca="1" si="15"/>
        <v>1334048</v>
      </c>
    </row>
    <row r="183" spans="1:6" x14ac:dyDescent="0.3">
      <c r="A183" s="1">
        <v>182</v>
      </c>
      <c r="B183" s="1">
        <f t="shared" ca="1" si="11"/>
        <v>14387</v>
      </c>
      <c r="C183" s="1">
        <f t="shared" ca="1" si="12"/>
        <v>28885</v>
      </c>
      <c r="D183" s="1">
        <f t="shared" ca="1" si="13"/>
        <v>23087</v>
      </c>
      <c r="E183" s="1">
        <f t="shared" ca="1" si="14"/>
        <v>86539</v>
      </c>
      <c r="F183" s="1">
        <f t="shared" ca="1" si="15"/>
        <v>1370620</v>
      </c>
    </row>
    <row r="184" spans="1:6" x14ac:dyDescent="0.3">
      <c r="A184" s="1">
        <v>183</v>
      </c>
      <c r="B184" s="1">
        <f t="shared" ca="1" si="11"/>
        <v>14581</v>
      </c>
      <c r="C184" s="1">
        <f t="shared" ca="1" si="12"/>
        <v>29208</v>
      </c>
      <c r="D184" s="1">
        <f t="shared" ca="1" si="13"/>
        <v>22803</v>
      </c>
      <c r="E184" s="1">
        <f t="shared" ca="1" si="14"/>
        <v>88842</v>
      </c>
      <c r="F184" s="1">
        <f t="shared" ca="1" si="15"/>
        <v>1412030</v>
      </c>
    </row>
    <row r="185" spans="1:6" x14ac:dyDescent="0.3">
      <c r="A185" s="1">
        <v>184</v>
      </c>
      <c r="B185" s="1">
        <f t="shared" ca="1" si="11"/>
        <v>14217</v>
      </c>
      <c r="C185" s="1">
        <f t="shared" ca="1" si="12"/>
        <v>28848</v>
      </c>
      <c r="D185" s="1">
        <f t="shared" ca="1" si="13"/>
        <v>23115</v>
      </c>
      <c r="E185" s="1">
        <f t="shared" ca="1" si="14"/>
        <v>90318</v>
      </c>
      <c r="F185" s="1">
        <f t="shared" ca="1" si="15"/>
        <v>1422174</v>
      </c>
    </row>
    <row r="186" spans="1:6" x14ac:dyDescent="0.3">
      <c r="A186" s="1">
        <v>185</v>
      </c>
      <c r="B186" s="1">
        <f t="shared" ca="1" si="11"/>
        <v>13888</v>
      </c>
      <c r="C186" s="1">
        <f t="shared" ca="1" si="12"/>
        <v>28433</v>
      </c>
      <c r="D186" s="1">
        <f t="shared" ca="1" si="13"/>
        <v>23237</v>
      </c>
      <c r="E186" s="1">
        <f t="shared" ca="1" si="14"/>
        <v>90641</v>
      </c>
      <c r="F186" s="1">
        <f t="shared" ca="1" si="15"/>
        <v>1392594</v>
      </c>
    </row>
    <row r="187" spans="1:6" x14ac:dyDescent="0.3">
      <c r="A187" s="1">
        <v>186</v>
      </c>
      <c r="B187" s="1">
        <f t="shared" ca="1" si="11"/>
        <v>13711</v>
      </c>
      <c r="C187" s="1">
        <f t="shared" ca="1" si="12"/>
        <v>28979</v>
      </c>
      <c r="D187" s="1">
        <f t="shared" ca="1" si="13"/>
        <v>23714</v>
      </c>
      <c r="E187" s="1">
        <f t="shared" ca="1" si="14"/>
        <v>89017</v>
      </c>
      <c r="F187" s="1">
        <f t="shared" ca="1" si="15"/>
        <v>1353328</v>
      </c>
    </row>
    <row r="188" spans="1:6" x14ac:dyDescent="0.3">
      <c r="A188" s="1">
        <v>187</v>
      </c>
      <c r="B188" s="1">
        <f t="shared" ca="1" si="11"/>
        <v>13462</v>
      </c>
      <c r="C188" s="1">
        <f t="shared" ca="1" si="12"/>
        <v>29473</v>
      </c>
      <c r="D188" s="1">
        <f t="shared" ca="1" si="13"/>
        <v>24364</v>
      </c>
      <c r="E188" s="1">
        <f t="shared" ca="1" si="14"/>
        <v>89648</v>
      </c>
      <c r="F188" s="1">
        <f t="shared" ca="1" si="15"/>
        <v>1353415</v>
      </c>
    </row>
    <row r="189" spans="1:6" x14ac:dyDescent="0.3">
      <c r="A189" s="1">
        <v>188</v>
      </c>
      <c r="B189" s="1">
        <f t="shared" ca="1" si="11"/>
        <v>13854</v>
      </c>
      <c r="C189" s="1">
        <f t="shared" ca="1" si="12"/>
        <v>29043</v>
      </c>
      <c r="D189" s="1">
        <f t="shared" ca="1" si="13"/>
        <v>24434</v>
      </c>
      <c r="E189" s="1">
        <f t="shared" ca="1" si="14"/>
        <v>91762</v>
      </c>
      <c r="F189" s="1">
        <f t="shared" ca="1" si="15"/>
        <v>1338014</v>
      </c>
    </row>
    <row r="190" spans="1:6" x14ac:dyDescent="0.3">
      <c r="A190" s="1">
        <v>189</v>
      </c>
      <c r="B190" s="1">
        <f t="shared" ca="1" si="11"/>
        <v>13842</v>
      </c>
      <c r="C190" s="1">
        <f t="shared" ca="1" si="12"/>
        <v>28559</v>
      </c>
      <c r="D190" s="1">
        <f t="shared" ca="1" si="13"/>
        <v>23901</v>
      </c>
      <c r="E190" s="1">
        <f t="shared" ca="1" si="14"/>
        <v>89850</v>
      </c>
      <c r="F190" s="1">
        <f t="shared" ca="1" si="15"/>
        <v>1299832</v>
      </c>
    </row>
    <row r="191" spans="1:6" x14ac:dyDescent="0.3">
      <c r="A191" s="1">
        <v>190</v>
      </c>
      <c r="B191" s="1">
        <f t="shared" ca="1" si="11"/>
        <v>13822</v>
      </c>
      <c r="C191" s="1">
        <f t="shared" ca="1" si="12"/>
        <v>27987</v>
      </c>
      <c r="D191" s="1">
        <f t="shared" ca="1" si="13"/>
        <v>23641</v>
      </c>
      <c r="E191" s="1">
        <f t="shared" ca="1" si="14"/>
        <v>92492</v>
      </c>
      <c r="F191" s="1">
        <f t="shared" ca="1" si="15"/>
        <v>1336917</v>
      </c>
    </row>
    <row r="192" spans="1:6" x14ac:dyDescent="0.3">
      <c r="A192" s="1">
        <v>191</v>
      </c>
      <c r="B192" s="1">
        <f t="shared" ca="1" si="11"/>
        <v>13871</v>
      </c>
      <c r="C192" s="1">
        <f t="shared" ca="1" si="12"/>
        <v>28411</v>
      </c>
      <c r="D192" s="1">
        <f t="shared" ca="1" si="13"/>
        <v>23875</v>
      </c>
      <c r="E192" s="1">
        <f t="shared" ca="1" si="14"/>
        <v>95017</v>
      </c>
      <c r="F192" s="1">
        <f t="shared" ca="1" si="15"/>
        <v>1369520</v>
      </c>
    </row>
    <row r="193" spans="1:6" x14ac:dyDescent="0.3">
      <c r="A193" s="1">
        <v>192</v>
      </c>
      <c r="B193" s="1">
        <f t="shared" ca="1" si="11"/>
        <v>13963</v>
      </c>
      <c r="C193" s="1">
        <f t="shared" ca="1" si="12"/>
        <v>28346</v>
      </c>
      <c r="D193" s="1">
        <f t="shared" ca="1" si="13"/>
        <v>23656</v>
      </c>
      <c r="E193" s="1">
        <f t="shared" ca="1" si="14"/>
        <v>92503</v>
      </c>
      <c r="F193" s="1">
        <f t="shared" ca="1" si="15"/>
        <v>1389304</v>
      </c>
    </row>
    <row r="194" spans="1:6" x14ac:dyDescent="0.3">
      <c r="A194" s="1">
        <v>193</v>
      </c>
      <c r="B194" s="1">
        <f t="shared" ca="1" si="11"/>
        <v>14109</v>
      </c>
      <c r="C194" s="1">
        <f t="shared" ca="1" si="12"/>
        <v>28330</v>
      </c>
      <c r="D194" s="1">
        <f t="shared" ca="1" si="13"/>
        <v>23643</v>
      </c>
      <c r="E194" s="1">
        <f t="shared" ca="1" si="14"/>
        <v>89849</v>
      </c>
      <c r="F194" s="1">
        <f t="shared" ca="1" si="15"/>
        <v>1370462</v>
      </c>
    </row>
    <row r="195" spans="1:6" x14ac:dyDescent="0.3">
      <c r="A195" s="1">
        <v>194</v>
      </c>
      <c r="B195" s="1">
        <f t="shared" ca="1" si="11"/>
        <v>14393</v>
      </c>
      <c r="C195" s="1">
        <f t="shared" ca="1" si="12"/>
        <v>28893</v>
      </c>
      <c r="D195" s="1">
        <f t="shared" ca="1" si="13"/>
        <v>24373</v>
      </c>
      <c r="E195" s="1">
        <f t="shared" ca="1" si="14"/>
        <v>91125</v>
      </c>
      <c r="F195" s="1">
        <f t="shared" ca="1" si="15"/>
        <v>1371127</v>
      </c>
    </row>
    <row r="196" spans="1:6" x14ac:dyDescent="0.3">
      <c r="A196" s="1">
        <v>195</v>
      </c>
      <c r="B196" s="1">
        <f t="shared" ref="B196:B253" ca="1" si="16">RANDBETWEEN(B195*0.97, B195*1.033)</f>
        <v>14576</v>
      </c>
      <c r="C196" s="1">
        <f t="shared" ref="C196:C253" ca="1" si="17">RANDBETWEEN(C195*0.97, C195*1.033)</f>
        <v>28493</v>
      </c>
      <c r="D196" s="1">
        <f t="shared" ref="D196:D253" ca="1" si="18">RANDBETWEEN(D195*0.97, D195*1.033)</f>
        <v>23677</v>
      </c>
      <c r="E196" s="1">
        <f t="shared" ref="E196:E253" ca="1" si="19">RANDBETWEEN(E195*0.97, E195*1.033)</f>
        <v>94063</v>
      </c>
      <c r="F196" s="1">
        <f t="shared" ref="F196:F253" ca="1" si="20">RANDBETWEEN(F195*0.97, F195*1.033)</f>
        <v>1346821</v>
      </c>
    </row>
    <row r="197" spans="1:6" x14ac:dyDescent="0.3">
      <c r="A197" s="1">
        <v>196</v>
      </c>
      <c r="B197" s="1">
        <f t="shared" ca="1" si="16"/>
        <v>14970</v>
      </c>
      <c r="C197" s="1">
        <f t="shared" ca="1" si="17"/>
        <v>29182</v>
      </c>
      <c r="D197" s="1">
        <f t="shared" ca="1" si="18"/>
        <v>22989</v>
      </c>
      <c r="E197" s="1">
        <f t="shared" ca="1" si="19"/>
        <v>92131</v>
      </c>
      <c r="F197" s="1">
        <f t="shared" ca="1" si="20"/>
        <v>1339949</v>
      </c>
    </row>
    <row r="198" spans="1:6" x14ac:dyDescent="0.3">
      <c r="A198" s="1">
        <v>197</v>
      </c>
      <c r="B198" s="1">
        <f t="shared" ca="1" si="16"/>
        <v>14717</v>
      </c>
      <c r="C198" s="1">
        <f t="shared" ca="1" si="17"/>
        <v>29876</v>
      </c>
      <c r="D198" s="1">
        <f t="shared" ca="1" si="18"/>
        <v>23742</v>
      </c>
      <c r="E198" s="1">
        <f t="shared" ca="1" si="19"/>
        <v>92951</v>
      </c>
      <c r="F198" s="1">
        <f t="shared" ca="1" si="20"/>
        <v>1315250</v>
      </c>
    </row>
    <row r="199" spans="1:6" x14ac:dyDescent="0.3">
      <c r="A199" s="1">
        <v>198</v>
      </c>
      <c r="B199" s="1">
        <f t="shared" ca="1" si="16"/>
        <v>14914</v>
      </c>
      <c r="C199" s="1">
        <f t="shared" ca="1" si="17"/>
        <v>30321</v>
      </c>
      <c r="D199" s="1">
        <f t="shared" ca="1" si="18"/>
        <v>23382</v>
      </c>
      <c r="E199" s="1">
        <f t="shared" ca="1" si="19"/>
        <v>91563</v>
      </c>
      <c r="F199" s="1">
        <f t="shared" ca="1" si="20"/>
        <v>1282905</v>
      </c>
    </row>
    <row r="200" spans="1:6" x14ac:dyDescent="0.3">
      <c r="A200" s="1">
        <v>199</v>
      </c>
      <c r="B200" s="1">
        <f t="shared" ca="1" si="16"/>
        <v>15248</v>
      </c>
      <c r="C200" s="1">
        <f t="shared" ca="1" si="17"/>
        <v>30668</v>
      </c>
      <c r="D200" s="1">
        <f t="shared" ca="1" si="18"/>
        <v>24009</v>
      </c>
      <c r="E200" s="1">
        <f t="shared" ca="1" si="19"/>
        <v>90406</v>
      </c>
      <c r="F200" s="1">
        <f t="shared" ca="1" si="20"/>
        <v>1285478</v>
      </c>
    </row>
    <row r="201" spans="1:6" x14ac:dyDescent="0.3">
      <c r="A201" s="1">
        <v>200</v>
      </c>
      <c r="B201" s="1">
        <f t="shared" ca="1" si="16"/>
        <v>15473</v>
      </c>
      <c r="C201" s="1">
        <f t="shared" ca="1" si="17"/>
        <v>31365</v>
      </c>
      <c r="D201" s="1">
        <f t="shared" ca="1" si="18"/>
        <v>23542</v>
      </c>
      <c r="E201" s="1">
        <f t="shared" ca="1" si="19"/>
        <v>89447</v>
      </c>
      <c r="F201" s="1">
        <f t="shared" ca="1" si="20"/>
        <v>1289935</v>
      </c>
    </row>
    <row r="202" spans="1:6" x14ac:dyDescent="0.3">
      <c r="A202" s="1">
        <v>201</v>
      </c>
      <c r="B202" s="1">
        <f t="shared" ca="1" si="16"/>
        <v>15167</v>
      </c>
      <c r="C202" s="1">
        <f t="shared" ca="1" si="17"/>
        <v>31568</v>
      </c>
      <c r="D202" s="1">
        <f t="shared" ca="1" si="18"/>
        <v>23466</v>
      </c>
      <c r="E202" s="1">
        <f t="shared" ca="1" si="19"/>
        <v>88168</v>
      </c>
      <c r="F202" s="1">
        <f t="shared" ca="1" si="20"/>
        <v>1314149</v>
      </c>
    </row>
    <row r="203" spans="1:6" x14ac:dyDescent="0.3">
      <c r="A203" s="1">
        <v>202</v>
      </c>
      <c r="B203" s="1">
        <f t="shared" ca="1" si="16"/>
        <v>15503</v>
      </c>
      <c r="C203" s="1">
        <f t="shared" ca="1" si="17"/>
        <v>31145</v>
      </c>
      <c r="D203" s="1">
        <f t="shared" ca="1" si="18"/>
        <v>23997</v>
      </c>
      <c r="E203" s="1">
        <f t="shared" ca="1" si="19"/>
        <v>85998</v>
      </c>
      <c r="F203" s="1">
        <f t="shared" ca="1" si="20"/>
        <v>1300628</v>
      </c>
    </row>
    <row r="204" spans="1:6" x14ac:dyDescent="0.3">
      <c r="A204" s="1">
        <v>203</v>
      </c>
      <c r="B204" s="1">
        <f t="shared" ca="1" si="16"/>
        <v>15173</v>
      </c>
      <c r="C204" s="1">
        <f t="shared" ca="1" si="17"/>
        <v>31650</v>
      </c>
      <c r="D204" s="1">
        <f t="shared" ca="1" si="18"/>
        <v>24104</v>
      </c>
      <c r="E204" s="1">
        <f t="shared" ca="1" si="19"/>
        <v>85282</v>
      </c>
      <c r="F204" s="1">
        <f t="shared" ca="1" si="20"/>
        <v>1296354</v>
      </c>
    </row>
    <row r="205" spans="1:6" x14ac:dyDescent="0.3">
      <c r="A205" s="1">
        <v>204</v>
      </c>
      <c r="B205" s="1">
        <f t="shared" ca="1" si="16"/>
        <v>15235</v>
      </c>
      <c r="C205" s="1">
        <f t="shared" ca="1" si="17"/>
        <v>31345</v>
      </c>
      <c r="D205" s="1">
        <f t="shared" ca="1" si="18"/>
        <v>24092</v>
      </c>
      <c r="E205" s="1">
        <f t="shared" ca="1" si="19"/>
        <v>86484</v>
      </c>
      <c r="F205" s="1">
        <f t="shared" ca="1" si="20"/>
        <v>1338209</v>
      </c>
    </row>
    <row r="206" spans="1:6" x14ac:dyDescent="0.3">
      <c r="A206" s="1">
        <v>205</v>
      </c>
      <c r="B206" s="1">
        <f t="shared" ca="1" si="16"/>
        <v>14868</v>
      </c>
      <c r="C206" s="1">
        <f t="shared" ca="1" si="17"/>
        <v>31338</v>
      </c>
      <c r="D206" s="1">
        <f t="shared" ca="1" si="18"/>
        <v>23673</v>
      </c>
      <c r="E206" s="1">
        <f t="shared" ca="1" si="19"/>
        <v>88760</v>
      </c>
      <c r="F206" s="1">
        <f t="shared" ca="1" si="20"/>
        <v>1377776</v>
      </c>
    </row>
    <row r="207" spans="1:6" x14ac:dyDescent="0.3">
      <c r="A207" s="1">
        <v>206</v>
      </c>
      <c r="B207" s="1">
        <f t="shared" ca="1" si="16"/>
        <v>15078</v>
      </c>
      <c r="C207" s="1">
        <f t="shared" ca="1" si="17"/>
        <v>31734</v>
      </c>
      <c r="D207" s="1">
        <f t="shared" ca="1" si="18"/>
        <v>24043</v>
      </c>
      <c r="E207" s="1">
        <f t="shared" ca="1" si="19"/>
        <v>91129</v>
      </c>
      <c r="F207" s="1">
        <f t="shared" ca="1" si="20"/>
        <v>1394268</v>
      </c>
    </row>
    <row r="208" spans="1:6" x14ac:dyDescent="0.3">
      <c r="A208" s="1">
        <v>207</v>
      </c>
      <c r="B208" s="1">
        <f t="shared" ca="1" si="16"/>
        <v>15256</v>
      </c>
      <c r="C208" s="1">
        <f t="shared" ca="1" si="17"/>
        <v>32306</v>
      </c>
      <c r="D208" s="1">
        <f t="shared" ca="1" si="18"/>
        <v>24319</v>
      </c>
      <c r="E208" s="1">
        <f t="shared" ca="1" si="19"/>
        <v>89185</v>
      </c>
      <c r="F208" s="1">
        <f t="shared" ca="1" si="20"/>
        <v>1404534</v>
      </c>
    </row>
    <row r="209" spans="1:6" x14ac:dyDescent="0.3">
      <c r="A209" s="1">
        <v>208</v>
      </c>
      <c r="B209" s="1">
        <f t="shared" ca="1" si="16"/>
        <v>15033</v>
      </c>
      <c r="C209" s="1">
        <f t="shared" ca="1" si="17"/>
        <v>32424</v>
      </c>
      <c r="D209" s="1">
        <f t="shared" ca="1" si="18"/>
        <v>23647</v>
      </c>
      <c r="E209" s="1">
        <f t="shared" ca="1" si="19"/>
        <v>86811</v>
      </c>
      <c r="F209" s="1">
        <f t="shared" ca="1" si="20"/>
        <v>1439705</v>
      </c>
    </row>
    <row r="210" spans="1:6" x14ac:dyDescent="0.3">
      <c r="A210" s="1">
        <v>209</v>
      </c>
      <c r="B210" s="1">
        <f t="shared" ca="1" si="16"/>
        <v>14884</v>
      </c>
      <c r="C210" s="1">
        <f t="shared" ca="1" si="17"/>
        <v>33490</v>
      </c>
      <c r="D210" s="1">
        <f t="shared" ca="1" si="18"/>
        <v>23289</v>
      </c>
      <c r="E210" s="1">
        <f t="shared" ca="1" si="19"/>
        <v>85911</v>
      </c>
      <c r="F210" s="1">
        <f t="shared" ca="1" si="20"/>
        <v>1434204</v>
      </c>
    </row>
    <row r="211" spans="1:6" x14ac:dyDescent="0.3">
      <c r="A211" s="1">
        <v>210</v>
      </c>
      <c r="B211" s="1">
        <f t="shared" ca="1" si="16"/>
        <v>14884</v>
      </c>
      <c r="C211" s="1">
        <f t="shared" ca="1" si="17"/>
        <v>32583</v>
      </c>
      <c r="D211" s="1">
        <f t="shared" ca="1" si="18"/>
        <v>22680</v>
      </c>
      <c r="E211" s="1">
        <f t="shared" ca="1" si="19"/>
        <v>87414</v>
      </c>
      <c r="F211" s="1">
        <f t="shared" ca="1" si="20"/>
        <v>1436755</v>
      </c>
    </row>
    <row r="212" spans="1:6" x14ac:dyDescent="0.3">
      <c r="A212" s="1">
        <v>211</v>
      </c>
      <c r="B212" s="1">
        <f t="shared" ca="1" si="16"/>
        <v>14793</v>
      </c>
      <c r="C212" s="1">
        <f t="shared" ca="1" si="17"/>
        <v>31827</v>
      </c>
      <c r="D212" s="1">
        <f t="shared" ca="1" si="18"/>
        <v>22457</v>
      </c>
      <c r="E212" s="1">
        <f t="shared" ca="1" si="19"/>
        <v>87651</v>
      </c>
      <c r="F212" s="1">
        <f t="shared" ca="1" si="20"/>
        <v>1433401</v>
      </c>
    </row>
    <row r="213" spans="1:6" x14ac:dyDescent="0.3">
      <c r="A213" s="1">
        <v>212</v>
      </c>
      <c r="B213" s="1">
        <f t="shared" ca="1" si="16"/>
        <v>15102</v>
      </c>
      <c r="C213" s="1">
        <f t="shared" ca="1" si="17"/>
        <v>31179</v>
      </c>
      <c r="D213" s="1">
        <f t="shared" ca="1" si="18"/>
        <v>22211</v>
      </c>
      <c r="E213" s="1">
        <f t="shared" ca="1" si="19"/>
        <v>87834</v>
      </c>
      <c r="F213" s="1">
        <f t="shared" ca="1" si="20"/>
        <v>1452533</v>
      </c>
    </row>
    <row r="214" spans="1:6" x14ac:dyDescent="0.3">
      <c r="A214" s="1">
        <v>213</v>
      </c>
      <c r="B214" s="1">
        <f t="shared" ca="1" si="16"/>
        <v>15576</v>
      </c>
      <c r="C214" s="1">
        <f t="shared" ca="1" si="17"/>
        <v>31668</v>
      </c>
      <c r="D214" s="1">
        <f t="shared" ca="1" si="18"/>
        <v>22127</v>
      </c>
      <c r="E214" s="1">
        <f t="shared" ca="1" si="19"/>
        <v>89476</v>
      </c>
      <c r="F214" s="1">
        <f t="shared" ca="1" si="20"/>
        <v>1474199</v>
      </c>
    </row>
    <row r="215" spans="1:6" x14ac:dyDescent="0.3">
      <c r="A215" s="1">
        <v>214</v>
      </c>
      <c r="B215" s="1">
        <f t="shared" ca="1" si="16"/>
        <v>15617</v>
      </c>
      <c r="C215" s="1">
        <f t="shared" ca="1" si="17"/>
        <v>31597</v>
      </c>
      <c r="D215" s="1">
        <f t="shared" ca="1" si="18"/>
        <v>22855</v>
      </c>
      <c r="E215" s="1">
        <f t="shared" ca="1" si="19"/>
        <v>87099</v>
      </c>
      <c r="F215" s="1">
        <f t="shared" ca="1" si="20"/>
        <v>1514318</v>
      </c>
    </row>
    <row r="216" spans="1:6" x14ac:dyDescent="0.3">
      <c r="A216" s="1">
        <v>215</v>
      </c>
      <c r="B216" s="1">
        <f t="shared" ca="1" si="16"/>
        <v>15745</v>
      </c>
      <c r="C216" s="1">
        <f t="shared" ca="1" si="17"/>
        <v>30915</v>
      </c>
      <c r="D216" s="1">
        <f t="shared" ca="1" si="18"/>
        <v>22853</v>
      </c>
      <c r="E216" s="1">
        <f t="shared" ca="1" si="19"/>
        <v>84674</v>
      </c>
      <c r="F216" s="1">
        <f t="shared" ca="1" si="20"/>
        <v>1522024</v>
      </c>
    </row>
    <row r="217" spans="1:6" x14ac:dyDescent="0.3">
      <c r="A217" s="1">
        <v>216</v>
      </c>
      <c r="B217" s="1">
        <f t="shared" ca="1" si="16"/>
        <v>15901</v>
      </c>
      <c r="C217" s="1">
        <f t="shared" ca="1" si="17"/>
        <v>31684</v>
      </c>
      <c r="D217" s="1">
        <f t="shared" ca="1" si="18"/>
        <v>22252</v>
      </c>
      <c r="E217" s="1">
        <f t="shared" ca="1" si="19"/>
        <v>82237</v>
      </c>
      <c r="F217" s="1">
        <f t="shared" ca="1" si="20"/>
        <v>1485531</v>
      </c>
    </row>
    <row r="218" spans="1:6" x14ac:dyDescent="0.3">
      <c r="A218" s="1">
        <v>217</v>
      </c>
      <c r="B218" s="1">
        <f t="shared" ca="1" si="16"/>
        <v>15637</v>
      </c>
      <c r="C218" s="1">
        <f t="shared" ca="1" si="17"/>
        <v>31312</v>
      </c>
      <c r="D218" s="1">
        <f t="shared" ca="1" si="18"/>
        <v>22389</v>
      </c>
      <c r="E218" s="1">
        <f t="shared" ca="1" si="19"/>
        <v>84809</v>
      </c>
      <c r="F218" s="1">
        <f t="shared" ca="1" si="20"/>
        <v>1518680</v>
      </c>
    </row>
    <row r="219" spans="1:6" x14ac:dyDescent="0.3">
      <c r="A219" s="1">
        <v>218</v>
      </c>
      <c r="B219" s="1">
        <f t="shared" ca="1" si="16"/>
        <v>16108</v>
      </c>
      <c r="C219" s="1">
        <f t="shared" ca="1" si="17"/>
        <v>30386</v>
      </c>
      <c r="D219" s="1">
        <f t="shared" ca="1" si="18"/>
        <v>22348</v>
      </c>
      <c r="E219" s="1">
        <f t="shared" ca="1" si="19"/>
        <v>84624</v>
      </c>
      <c r="F219" s="1">
        <f t="shared" ca="1" si="20"/>
        <v>1498679</v>
      </c>
    </row>
    <row r="220" spans="1:6" x14ac:dyDescent="0.3">
      <c r="A220" s="1">
        <v>219</v>
      </c>
      <c r="B220" s="1">
        <f t="shared" ca="1" si="16"/>
        <v>15709</v>
      </c>
      <c r="C220" s="1">
        <f t="shared" ca="1" si="17"/>
        <v>30941</v>
      </c>
      <c r="D220" s="1">
        <f t="shared" ca="1" si="18"/>
        <v>21745</v>
      </c>
      <c r="E220" s="1">
        <f t="shared" ca="1" si="19"/>
        <v>82494</v>
      </c>
      <c r="F220" s="1">
        <f t="shared" ca="1" si="20"/>
        <v>1545766</v>
      </c>
    </row>
    <row r="221" spans="1:6" x14ac:dyDescent="0.3">
      <c r="A221" s="1">
        <v>220</v>
      </c>
      <c r="B221" s="1">
        <f t="shared" ca="1" si="16"/>
        <v>15571</v>
      </c>
      <c r="C221" s="1">
        <f t="shared" ca="1" si="17"/>
        <v>30765</v>
      </c>
      <c r="D221" s="1">
        <f t="shared" ca="1" si="18"/>
        <v>21381</v>
      </c>
      <c r="E221" s="1">
        <f t="shared" ca="1" si="19"/>
        <v>81215</v>
      </c>
      <c r="F221" s="1">
        <f t="shared" ca="1" si="20"/>
        <v>1518893</v>
      </c>
    </row>
    <row r="222" spans="1:6" x14ac:dyDescent="0.3">
      <c r="A222" s="1">
        <v>221</v>
      </c>
      <c r="B222" s="1">
        <f t="shared" ca="1" si="16"/>
        <v>15937</v>
      </c>
      <c r="C222" s="1">
        <f t="shared" ca="1" si="17"/>
        <v>30482</v>
      </c>
      <c r="D222" s="1">
        <f t="shared" ca="1" si="18"/>
        <v>20993</v>
      </c>
      <c r="E222" s="1">
        <f t="shared" ca="1" si="19"/>
        <v>81558</v>
      </c>
      <c r="F222" s="1">
        <f t="shared" ca="1" si="20"/>
        <v>1480267</v>
      </c>
    </row>
    <row r="223" spans="1:6" x14ac:dyDescent="0.3">
      <c r="A223" s="1">
        <v>222</v>
      </c>
      <c r="B223" s="1">
        <f t="shared" ca="1" si="16"/>
        <v>15503</v>
      </c>
      <c r="C223" s="1">
        <f t="shared" ca="1" si="17"/>
        <v>29759</v>
      </c>
      <c r="D223" s="1">
        <f t="shared" ca="1" si="18"/>
        <v>20484</v>
      </c>
      <c r="E223" s="1">
        <f t="shared" ca="1" si="19"/>
        <v>81244</v>
      </c>
      <c r="F223" s="1">
        <f t="shared" ca="1" si="20"/>
        <v>1461776</v>
      </c>
    </row>
    <row r="224" spans="1:6" x14ac:dyDescent="0.3">
      <c r="A224" s="1">
        <v>223</v>
      </c>
      <c r="B224" s="1">
        <f t="shared" ca="1" si="16"/>
        <v>16011</v>
      </c>
      <c r="C224" s="1">
        <f t="shared" ca="1" si="17"/>
        <v>29894</v>
      </c>
      <c r="D224" s="1">
        <f t="shared" ca="1" si="18"/>
        <v>20992</v>
      </c>
      <c r="E224" s="1">
        <f t="shared" ca="1" si="19"/>
        <v>80490</v>
      </c>
      <c r="F224" s="1">
        <f t="shared" ca="1" si="20"/>
        <v>1418890</v>
      </c>
    </row>
    <row r="225" spans="1:6" x14ac:dyDescent="0.3">
      <c r="A225" s="1">
        <v>224</v>
      </c>
      <c r="B225" s="1">
        <f t="shared" ca="1" si="16"/>
        <v>15884</v>
      </c>
      <c r="C225" s="1">
        <f t="shared" ca="1" si="17"/>
        <v>29244</v>
      </c>
      <c r="D225" s="1">
        <f t="shared" ca="1" si="18"/>
        <v>21029</v>
      </c>
      <c r="E225" s="1">
        <f t="shared" ca="1" si="19"/>
        <v>78221</v>
      </c>
      <c r="F225" s="1">
        <f t="shared" ca="1" si="20"/>
        <v>1398845</v>
      </c>
    </row>
    <row r="226" spans="1:6" x14ac:dyDescent="0.3">
      <c r="A226" s="1">
        <v>225</v>
      </c>
      <c r="B226" s="1">
        <f t="shared" ca="1" si="16"/>
        <v>15534</v>
      </c>
      <c r="C226" s="1">
        <f t="shared" ca="1" si="17"/>
        <v>29979</v>
      </c>
      <c r="D226" s="1">
        <f t="shared" ca="1" si="18"/>
        <v>20565</v>
      </c>
      <c r="E226" s="1">
        <f t="shared" ca="1" si="19"/>
        <v>76949</v>
      </c>
      <c r="F226" s="1">
        <f t="shared" ca="1" si="20"/>
        <v>1413537</v>
      </c>
    </row>
    <row r="227" spans="1:6" x14ac:dyDescent="0.3">
      <c r="A227" s="1">
        <v>226</v>
      </c>
      <c r="B227" s="1">
        <f t="shared" ca="1" si="16"/>
        <v>15831</v>
      </c>
      <c r="C227" s="1">
        <f t="shared" ca="1" si="17"/>
        <v>30264</v>
      </c>
      <c r="D227" s="1">
        <f t="shared" ca="1" si="18"/>
        <v>20066</v>
      </c>
      <c r="E227" s="1">
        <f t="shared" ca="1" si="19"/>
        <v>79113</v>
      </c>
      <c r="F227" s="1">
        <f t="shared" ca="1" si="20"/>
        <v>1383449</v>
      </c>
    </row>
    <row r="228" spans="1:6" x14ac:dyDescent="0.3">
      <c r="A228" s="1">
        <v>227</v>
      </c>
      <c r="B228" s="1">
        <f t="shared" ca="1" si="16"/>
        <v>16130</v>
      </c>
      <c r="C228" s="1">
        <f t="shared" ca="1" si="17"/>
        <v>29476</v>
      </c>
      <c r="D228" s="1">
        <f t="shared" ca="1" si="18"/>
        <v>19582</v>
      </c>
      <c r="E228" s="1">
        <f t="shared" ca="1" si="19"/>
        <v>80550</v>
      </c>
      <c r="F228" s="1">
        <f t="shared" ca="1" si="20"/>
        <v>1343971</v>
      </c>
    </row>
    <row r="229" spans="1:6" x14ac:dyDescent="0.3">
      <c r="A229" s="1">
        <v>228</v>
      </c>
      <c r="B229" s="1">
        <f t="shared" ca="1" si="16"/>
        <v>15884</v>
      </c>
      <c r="C229" s="1">
        <f t="shared" ca="1" si="17"/>
        <v>29572</v>
      </c>
      <c r="D229" s="1">
        <f t="shared" ca="1" si="18"/>
        <v>19239</v>
      </c>
      <c r="E229" s="1">
        <f t="shared" ca="1" si="19"/>
        <v>80909</v>
      </c>
      <c r="F229" s="1">
        <f t="shared" ca="1" si="20"/>
        <v>1321467</v>
      </c>
    </row>
    <row r="230" spans="1:6" x14ac:dyDescent="0.3">
      <c r="A230" s="1">
        <v>229</v>
      </c>
      <c r="B230" s="1">
        <f t="shared" ca="1" si="16"/>
        <v>16357</v>
      </c>
      <c r="C230" s="1">
        <f t="shared" ca="1" si="17"/>
        <v>28932</v>
      </c>
      <c r="D230" s="1">
        <f t="shared" ca="1" si="18"/>
        <v>19458</v>
      </c>
      <c r="E230" s="1">
        <f t="shared" ca="1" si="19"/>
        <v>79988</v>
      </c>
      <c r="F230" s="1">
        <f t="shared" ca="1" si="20"/>
        <v>1286098</v>
      </c>
    </row>
    <row r="231" spans="1:6" x14ac:dyDescent="0.3">
      <c r="A231" s="1">
        <v>230</v>
      </c>
      <c r="B231" s="1">
        <f t="shared" ca="1" si="16"/>
        <v>16312</v>
      </c>
      <c r="C231" s="1">
        <f t="shared" ca="1" si="17"/>
        <v>29860</v>
      </c>
      <c r="D231" s="1">
        <f t="shared" ca="1" si="18"/>
        <v>19251</v>
      </c>
      <c r="E231" s="1">
        <f t="shared" ca="1" si="19"/>
        <v>78423</v>
      </c>
      <c r="F231" s="1">
        <f t="shared" ca="1" si="20"/>
        <v>1277526</v>
      </c>
    </row>
    <row r="232" spans="1:6" x14ac:dyDescent="0.3">
      <c r="A232" s="1">
        <v>231</v>
      </c>
      <c r="B232" s="1">
        <f t="shared" ca="1" si="16"/>
        <v>16525</v>
      </c>
      <c r="C232" s="1">
        <f t="shared" ca="1" si="17"/>
        <v>29453</v>
      </c>
      <c r="D232" s="1">
        <f t="shared" ca="1" si="18"/>
        <v>19422</v>
      </c>
      <c r="E232" s="1">
        <f t="shared" ca="1" si="19"/>
        <v>77635</v>
      </c>
      <c r="F232" s="1">
        <f t="shared" ca="1" si="20"/>
        <v>1245275</v>
      </c>
    </row>
    <row r="233" spans="1:6" x14ac:dyDescent="0.3">
      <c r="A233" s="1">
        <v>232</v>
      </c>
      <c r="B233" s="1">
        <f t="shared" ca="1" si="16"/>
        <v>16376</v>
      </c>
      <c r="C233" s="1">
        <f t="shared" ca="1" si="17"/>
        <v>29885</v>
      </c>
      <c r="D233" s="1">
        <f t="shared" ca="1" si="18"/>
        <v>19523</v>
      </c>
      <c r="E233" s="1">
        <f t="shared" ca="1" si="19"/>
        <v>76060</v>
      </c>
      <c r="F233" s="1">
        <f t="shared" ca="1" si="20"/>
        <v>1216376</v>
      </c>
    </row>
    <row r="234" spans="1:6" x14ac:dyDescent="0.3">
      <c r="A234" s="1">
        <v>233</v>
      </c>
      <c r="B234" s="1">
        <f t="shared" ca="1" si="16"/>
        <v>16915</v>
      </c>
      <c r="C234" s="1">
        <f t="shared" ca="1" si="17"/>
        <v>29962</v>
      </c>
      <c r="D234" s="1">
        <f t="shared" ca="1" si="18"/>
        <v>19370</v>
      </c>
      <c r="E234" s="1">
        <f t="shared" ca="1" si="19"/>
        <v>77853</v>
      </c>
      <c r="F234" s="1">
        <f t="shared" ca="1" si="20"/>
        <v>1246010</v>
      </c>
    </row>
    <row r="235" spans="1:6" x14ac:dyDescent="0.3">
      <c r="A235" s="1">
        <v>234</v>
      </c>
      <c r="B235" s="1">
        <f t="shared" ca="1" si="16"/>
        <v>17311</v>
      </c>
      <c r="C235" s="1">
        <f t="shared" ca="1" si="17"/>
        <v>29416</v>
      </c>
      <c r="D235" s="1">
        <f t="shared" ca="1" si="18"/>
        <v>19227</v>
      </c>
      <c r="E235" s="1">
        <f t="shared" ca="1" si="19"/>
        <v>77527</v>
      </c>
      <c r="F235" s="1">
        <f t="shared" ca="1" si="20"/>
        <v>1264530</v>
      </c>
    </row>
    <row r="236" spans="1:6" x14ac:dyDescent="0.3">
      <c r="A236" s="1">
        <v>235</v>
      </c>
      <c r="B236" s="1">
        <f t="shared" ca="1" si="16"/>
        <v>16897</v>
      </c>
      <c r="C236" s="1">
        <f t="shared" ca="1" si="17"/>
        <v>29190</v>
      </c>
      <c r="D236" s="1">
        <f t="shared" ca="1" si="18"/>
        <v>18918</v>
      </c>
      <c r="E236" s="1">
        <f t="shared" ca="1" si="19"/>
        <v>76174</v>
      </c>
      <c r="F236" s="1">
        <f t="shared" ca="1" si="20"/>
        <v>1240297</v>
      </c>
    </row>
    <row r="237" spans="1:6" x14ac:dyDescent="0.3">
      <c r="A237" s="1">
        <v>236</v>
      </c>
      <c r="B237" s="1">
        <f t="shared" ca="1" si="16"/>
        <v>17392</v>
      </c>
      <c r="C237" s="1">
        <f t="shared" ca="1" si="17"/>
        <v>29905</v>
      </c>
      <c r="D237" s="1">
        <f t="shared" ca="1" si="18"/>
        <v>18681</v>
      </c>
      <c r="E237" s="1">
        <f t="shared" ca="1" si="19"/>
        <v>77694</v>
      </c>
      <c r="F237" s="1">
        <f t="shared" ca="1" si="20"/>
        <v>1236885</v>
      </c>
    </row>
    <row r="238" spans="1:6" x14ac:dyDescent="0.3">
      <c r="A238" s="1">
        <v>237</v>
      </c>
      <c r="B238" s="1">
        <f t="shared" ca="1" si="16"/>
        <v>17417</v>
      </c>
      <c r="C238" s="1">
        <f t="shared" ca="1" si="17"/>
        <v>30041</v>
      </c>
      <c r="D238" s="1">
        <f t="shared" ca="1" si="18"/>
        <v>18527</v>
      </c>
      <c r="E238" s="1">
        <f t="shared" ca="1" si="19"/>
        <v>80114</v>
      </c>
      <c r="F238" s="1">
        <f t="shared" ca="1" si="20"/>
        <v>1213236</v>
      </c>
    </row>
    <row r="239" spans="1:6" x14ac:dyDescent="0.3">
      <c r="A239" s="1">
        <v>238</v>
      </c>
      <c r="B239" s="1">
        <f t="shared" ca="1" si="16"/>
        <v>17345</v>
      </c>
      <c r="C239" s="1">
        <f t="shared" ca="1" si="17"/>
        <v>29847</v>
      </c>
      <c r="D239" s="1">
        <f t="shared" ca="1" si="18"/>
        <v>19006</v>
      </c>
      <c r="E239" s="1">
        <f t="shared" ca="1" si="19"/>
        <v>78943</v>
      </c>
      <c r="F239" s="1">
        <f t="shared" ca="1" si="20"/>
        <v>1237975</v>
      </c>
    </row>
    <row r="240" spans="1:6" x14ac:dyDescent="0.3">
      <c r="A240" s="1">
        <v>239</v>
      </c>
      <c r="B240" s="1">
        <f t="shared" ca="1" si="16"/>
        <v>17548</v>
      </c>
      <c r="C240" s="1">
        <f t="shared" ca="1" si="17"/>
        <v>30161</v>
      </c>
      <c r="D240" s="1">
        <f t="shared" ca="1" si="18"/>
        <v>19514</v>
      </c>
      <c r="E240" s="1">
        <f t="shared" ca="1" si="19"/>
        <v>78793</v>
      </c>
      <c r="F240" s="1">
        <f t="shared" ca="1" si="20"/>
        <v>1264644</v>
      </c>
    </row>
    <row r="241" spans="1:6" x14ac:dyDescent="0.3">
      <c r="A241" s="1">
        <v>240</v>
      </c>
      <c r="B241" s="1">
        <f t="shared" ca="1" si="16"/>
        <v>17490</v>
      </c>
      <c r="C241" s="1">
        <f t="shared" ca="1" si="17"/>
        <v>29318</v>
      </c>
      <c r="D241" s="1">
        <f t="shared" ca="1" si="18"/>
        <v>19804</v>
      </c>
      <c r="E241" s="1">
        <f t="shared" ca="1" si="19"/>
        <v>79651</v>
      </c>
      <c r="F241" s="1">
        <f t="shared" ca="1" si="20"/>
        <v>1286708</v>
      </c>
    </row>
    <row r="242" spans="1:6" x14ac:dyDescent="0.3">
      <c r="A242" s="1">
        <v>241</v>
      </c>
      <c r="B242" s="1">
        <f t="shared" ca="1" si="16"/>
        <v>17370</v>
      </c>
      <c r="C242" s="1">
        <f t="shared" ca="1" si="17"/>
        <v>30205</v>
      </c>
      <c r="D242" s="1">
        <f t="shared" ca="1" si="18"/>
        <v>20264</v>
      </c>
      <c r="E242" s="1">
        <f t="shared" ca="1" si="19"/>
        <v>78263</v>
      </c>
      <c r="F242" s="1">
        <f t="shared" ca="1" si="20"/>
        <v>1271369</v>
      </c>
    </row>
    <row r="243" spans="1:6" x14ac:dyDescent="0.3">
      <c r="A243" s="1">
        <v>242</v>
      </c>
      <c r="B243" s="1">
        <f t="shared" ca="1" si="16"/>
        <v>17633</v>
      </c>
      <c r="C243" s="1">
        <f t="shared" ca="1" si="17"/>
        <v>29700</v>
      </c>
      <c r="D243" s="1">
        <f t="shared" ca="1" si="18"/>
        <v>20561</v>
      </c>
      <c r="E243" s="1">
        <f t="shared" ca="1" si="19"/>
        <v>77002</v>
      </c>
      <c r="F243" s="1">
        <f t="shared" ca="1" si="20"/>
        <v>1281109</v>
      </c>
    </row>
    <row r="244" spans="1:6" x14ac:dyDescent="0.3">
      <c r="A244" s="1">
        <v>243</v>
      </c>
      <c r="B244" s="1">
        <f t="shared" ca="1" si="16"/>
        <v>17864</v>
      </c>
      <c r="C244" s="1">
        <f t="shared" ca="1" si="17"/>
        <v>28901</v>
      </c>
      <c r="D244" s="1">
        <f t="shared" ca="1" si="18"/>
        <v>21214</v>
      </c>
      <c r="E244" s="1">
        <f t="shared" ca="1" si="19"/>
        <v>76646</v>
      </c>
      <c r="F244" s="1">
        <f t="shared" ca="1" si="20"/>
        <v>1315793</v>
      </c>
    </row>
    <row r="245" spans="1:6" x14ac:dyDescent="0.3">
      <c r="A245" s="1">
        <v>244</v>
      </c>
      <c r="B245" s="1">
        <f t="shared" ca="1" si="16"/>
        <v>18337</v>
      </c>
      <c r="C245" s="1">
        <f t="shared" ca="1" si="17"/>
        <v>29165</v>
      </c>
      <c r="D245" s="1">
        <f t="shared" ca="1" si="18"/>
        <v>21289</v>
      </c>
      <c r="E245" s="1">
        <f t="shared" ca="1" si="19"/>
        <v>77693</v>
      </c>
      <c r="F245" s="1">
        <f t="shared" ca="1" si="20"/>
        <v>1358744</v>
      </c>
    </row>
    <row r="246" spans="1:6" x14ac:dyDescent="0.3">
      <c r="A246" s="1">
        <v>245</v>
      </c>
      <c r="B246" s="1">
        <f t="shared" ca="1" si="16"/>
        <v>18066</v>
      </c>
      <c r="C246" s="1">
        <f t="shared" ca="1" si="17"/>
        <v>29109</v>
      </c>
      <c r="D246" s="1">
        <f t="shared" ca="1" si="18"/>
        <v>20814</v>
      </c>
      <c r="E246" s="1">
        <f t="shared" ca="1" si="19"/>
        <v>76853</v>
      </c>
      <c r="F246" s="1">
        <f t="shared" ca="1" si="20"/>
        <v>1370864</v>
      </c>
    </row>
    <row r="247" spans="1:6" x14ac:dyDescent="0.3">
      <c r="A247" s="1">
        <v>246</v>
      </c>
      <c r="B247" s="1">
        <f t="shared" ca="1" si="16"/>
        <v>17728</v>
      </c>
      <c r="C247" s="1">
        <f t="shared" ca="1" si="17"/>
        <v>28236</v>
      </c>
      <c r="D247" s="1">
        <f t="shared" ca="1" si="18"/>
        <v>20548</v>
      </c>
      <c r="E247" s="1">
        <f t="shared" ca="1" si="19"/>
        <v>75776</v>
      </c>
      <c r="F247" s="1">
        <f t="shared" ca="1" si="20"/>
        <v>1415884</v>
      </c>
    </row>
    <row r="248" spans="1:6" x14ac:dyDescent="0.3">
      <c r="A248" s="1">
        <v>247</v>
      </c>
      <c r="B248" s="1">
        <f t="shared" ca="1" si="16"/>
        <v>17436</v>
      </c>
      <c r="C248" s="1">
        <f t="shared" ca="1" si="17"/>
        <v>27504</v>
      </c>
      <c r="D248" s="1">
        <f t="shared" ca="1" si="18"/>
        <v>20894</v>
      </c>
      <c r="E248" s="1">
        <f t="shared" ca="1" si="19"/>
        <v>77112</v>
      </c>
      <c r="F248" s="1">
        <f t="shared" ca="1" si="20"/>
        <v>1449275</v>
      </c>
    </row>
    <row r="249" spans="1:6" x14ac:dyDescent="0.3">
      <c r="A249" s="1">
        <v>248</v>
      </c>
      <c r="B249" s="1">
        <f t="shared" ca="1" si="16"/>
        <v>17611</v>
      </c>
      <c r="C249" s="1">
        <f t="shared" ca="1" si="17"/>
        <v>27635</v>
      </c>
      <c r="D249" s="1">
        <f t="shared" ca="1" si="18"/>
        <v>21352</v>
      </c>
      <c r="E249" s="1">
        <f t="shared" ca="1" si="19"/>
        <v>79012</v>
      </c>
      <c r="F249" s="1">
        <f t="shared" ca="1" si="20"/>
        <v>1428367</v>
      </c>
    </row>
    <row r="250" spans="1:6" x14ac:dyDescent="0.3">
      <c r="A250" s="1">
        <v>249</v>
      </c>
      <c r="B250" s="1">
        <f t="shared" ca="1" si="16"/>
        <v>17778</v>
      </c>
      <c r="C250" s="1">
        <f t="shared" ca="1" si="17"/>
        <v>26910</v>
      </c>
      <c r="D250" s="1">
        <f t="shared" ca="1" si="18"/>
        <v>20833</v>
      </c>
      <c r="E250" s="1">
        <f t="shared" ca="1" si="19"/>
        <v>80952</v>
      </c>
      <c r="F250" s="1">
        <f t="shared" ca="1" si="20"/>
        <v>1396698</v>
      </c>
    </row>
    <row r="251" spans="1:6" x14ac:dyDescent="0.3">
      <c r="A251" s="1">
        <v>250</v>
      </c>
      <c r="B251" s="1">
        <f t="shared" ca="1" si="16"/>
        <v>18338</v>
      </c>
      <c r="C251" s="1">
        <f t="shared" ca="1" si="17"/>
        <v>27122</v>
      </c>
      <c r="D251" s="1">
        <f t="shared" ca="1" si="18"/>
        <v>21007</v>
      </c>
      <c r="E251" s="1">
        <f t="shared" ca="1" si="19"/>
        <v>78821</v>
      </c>
      <c r="F251" s="1">
        <f t="shared" ca="1" si="20"/>
        <v>1359653</v>
      </c>
    </row>
    <row r="252" spans="1:6" x14ac:dyDescent="0.3">
      <c r="A252" s="1">
        <v>251</v>
      </c>
      <c r="B252" s="1">
        <f t="shared" ca="1" si="16"/>
        <v>18798</v>
      </c>
      <c r="C252" s="1">
        <f t="shared" ca="1" si="17"/>
        <v>26875</v>
      </c>
      <c r="D252" s="1">
        <f t="shared" ca="1" si="18"/>
        <v>21675</v>
      </c>
      <c r="E252" s="1">
        <f t="shared" ca="1" si="19"/>
        <v>79305</v>
      </c>
      <c r="F252" s="1">
        <f t="shared" ca="1" si="20"/>
        <v>1393406</v>
      </c>
    </row>
    <row r="253" spans="1:6" x14ac:dyDescent="0.3">
      <c r="A253" s="1">
        <v>252</v>
      </c>
      <c r="B253" s="1">
        <f t="shared" ca="1" si="16"/>
        <v>19010</v>
      </c>
      <c r="C253" s="1">
        <f t="shared" ca="1" si="17"/>
        <v>27047</v>
      </c>
      <c r="D253" s="1">
        <f t="shared" ca="1" si="18"/>
        <v>21977</v>
      </c>
      <c r="E253" s="1">
        <f t="shared" ca="1" si="19"/>
        <v>80393</v>
      </c>
      <c r="F253" s="1">
        <f t="shared" ca="1" si="20"/>
        <v>1425885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3"/>
  <sheetViews>
    <sheetView workbookViewId="0">
      <selection activeCell="G3" sqref="G3"/>
    </sheetView>
  </sheetViews>
  <sheetFormatPr defaultRowHeight="16.5" x14ac:dyDescent="0.3"/>
  <cols>
    <col min="2" max="5" width="15.875" bestFit="1" customWidth="1"/>
    <col min="6" max="7" width="17.375" bestFit="1" customWidth="1"/>
    <col min="8" max="8" width="9.125" bestFit="1" customWidth="1"/>
  </cols>
  <sheetData>
    <row r="1" spans="1:8" x14ac:dyDescent="0.3">
      <c r="A1" s="4" t="s">
        <v>8</v>
      </c>
      <c r="B1" s="4" t="s">
        <v>3</v>
      </c>
      <c r="C1" s="4" t="s">
        <v>4</v>
      </c>
      <c r="D1" s="4" t="s">
        <v>5</v>
      </c>
      <c r="E1" s="4" t="s">
        <v>6</v>
      </c>
      <c r="F1" s="4" t="s">
        <v>7</v>
      </c>
      <c r="G1" s="6" t="s">
        <v>9</v>
      </c>
      <c r="H1" s="7" t="s">
        <v>10</v>
      </c>
    </row>
    <row r="2" spans="1:8" x14ac:dyDescent="0.3">
      <c r="A2" s="1">
        <v>1</v>
      </c>
      <c r="B2" s="9">
        <f>'일자별 주가'!B2*'종목 기본정보'!B$2*'종목 기본정보'!B$3</f>
        <v>75000000000</v>
      </c>
      <c r="C2" s="9">
        <f>'일자별 주가'!C2*'종목 기본정보'!C$2*'종목 기본정보'!C$3</f>
        <v>90000000000</v>
      </c>
      <c r="D2" s="9">
        <f>'일자별 주가'!D2*'종목 기본정보'!D$2*'종목 기본정보'!D$3</f>
        <v>492000000000</v>
      </c>
      <c r="E2" s="9">
        <f>'일자별 주가'!E2*'종목 기본정보'!E$2*'종목 기본정보'!E$3</f>
        <v>88000000000</v>
      </c>
      <c r="F2" s="9">
        <f>'일자별 주가'!F2*'종목 기본정보'!F$2*'종목 기본정보'!F$3</f>
        <v>500000000000</v>
      </c>
      <c r="G2" s="9">
        <f>SUM(B2:F2)</f>
        <v>1245000000000</v>
      </c>
      <c r="H2" s="10">
        <f>G2/G$2*100</f>
        <v>100</v>
      </c>
    </row>
    <row r="3" spans="1:8" x14ac:dyDescent="0.3">
      <c r="A3" s="1">
        <v>2</v>
      </c>
      <c r="B3" s="8">
        <f ca="1">'일자별 주가'!B3*'종목 기본정보'!B$2*'종목 기본정보'!B$3</f>
        <v>73575000000</v>
      </c>
      <c r="C3" s="8">
        <f ca="1">'일자별 주가'!C3*'종목 기본정보'!C$2*'종목 기본정보'!C$3</f>
        <v>92826000000</v>
      </c>
      <c r="D3" s="8">
        <f ca="1">'일자별 주가'!D3*'종목 기본정보'!D$2*'종목 기본정보'!D$3</f>
        <v>490458400000</v>
      </c>
      <c r="E3" s="8">
        <f ca="1">'일자별 주가'!E3*'종목 기본정보'!E$2*'종목 기본정보'!E$3</f>
        <v>87824880000</v>
      </c>
      <c r="F3" s="8">
        <f ca="1">'일자별 주가'!F3*'종목 기본정보'!F$2*'종목 기본정보'!F$3</f>
        <v>495901500000</v>
      </c>
      <c r="G3" s="9">
        <f ca="1">SUM(B3:F3)</f>
        <v>1240585780000</v>
      </c>
      <c r="H3" s="10">
        <f ca="1">G3/G$2*100</f>
        <v>99.645444176706832</v>
      </c>
    </row>
    <row r="4" spans="1:8" x14ac:dyDescent="0.3">
      <c r="A4" s="1">
        <v>3</v>
      </c>
      <c r="B4" s="8">
        <f ca="1">'일자별 주가'!B4*'종목 기본정보'!B$2*'종목 기본정보'!B$3</f>
        <v>72607500000</v>
      </c>
      <c r="C4" s="8">
        <f ca="1">'일자별 주가'!C4*'종목 기본정보'!C$2*'종목 기본정보'!C$3</f>
        <v>94243500000</v>
      </c>
      <c r="D4" s="8">
        <f ca="1">'일자별 주가'!D4*'종목 기본정보'!D$2*'종목 기본정보'!D$3</f>
        <v>482766800000</v>
      </c>
      <c r="E4" s="8">
        <f ca="1">'일자별 주가'!E4*'종목 기본정보'!E$2*'종목 기본정보'!E$3</f>
        <v>86251440000</v>
      </c>
      <c r="F4" s="8">
        <f ca="1">'일자별 주가'!F4*'종목 기본정보'!F$2*'종목 기본정보'!F$3</f>
        <v>506118000000</v>
      </c>
      <c r="G4" s="9">
        <f t="shared" ref="G3:G66" ca="1" si="0">SUM(B4:F4)</f>
        <v>1241987240000</v>
      </c>
      <c r="H4" s="10">
        <f t="shared" ref="H4:H66" ca="1" si="1">G4/G$2*100</f>
        <v>99.758011244979912</v>
      </c>
    </row>
    <row r="5" spans="1:8" x14ac:dyDescent="0.3">
      <c r="A5" s="1">
        <v>4</v>
      </c>
      <c r="B5" s="8">
        <f ca="1">'일자별 주가'!B5*'종목 기본정보'!B$2*'종목 기본정보'!B$3</f>
        <v>74265000000</v>
      </c>
      <c r="C5" s="8">
        <f ca="1">'일자별 주가'!C5*'종목 기본정보'!C$2*'종목 기본정보'!C$3</f>
        <v>92304000000</v>
      </c>
      <c r="D5" s="8">
        <f ca="1">'일자별 주가'!D5*'종목 기본정보'!D$2*'종목 기본정보'!D$3</f>
        <v>498117200000</v>
      </c>
      <c r="E5" s="8">
        <f ca="1">'일자별 주가'!E5*'종목 기본정보'!E$2*'종목 기본정보'!E$3</f>
        <v>86506640000</v>
      </c>
      <c r="F5" s="8">
        <f ca="1">'일자별 주가'!F5*'종목 기본정보'!F$2*'종목 기본정보'!F$3</f>
        <v>517419500000</v>
      </c>
      <c r="G5" s="9">
        <f t="shared" ca="1" si="0"/>
        <v>1268612340000</v>
      </c>
      <c r="H5" s="10">
        <f t="shared" ca="1" si="1"/>
        <v>101.89657349397589</v>
      </c>
    </row>
    <row r="6" spans="1:8" x14ac:dyDescent="0.3">
      <c r="A6" s="1">
        <v>5</v>
      </c>
      <c r="B6" s="8">
        <f ca="1">'일자별 주가'!B6*'종목 기본정보'!B$2*'종목 기본정보'!B$3</f>
        <v>75045000000</v>
      </c>
      <c r="C6" s="8">
        <f ca="1">'일자별 주가'!C6*'종목 기본정보'!C$2*'종목 기본정보'!C$3</f>
        <v>91471500000</v>
      </c>
      <c r="D6" s="8">
        <f ca="1">'일자별 주가'!D6*'종목 기본정보'!D$2*'종목 기본정보'!D$3</f>
        <v>506235200000</v>
      </c>
      <c r="E6" s="8">
        <f ca="1">'일자별 주가'!E6*'종목 기본정보'!E$2*'종목 기본정보'!E$3</f>
        <v>88488400000</v>
      </c>
      <c r="F6" s="8">
        <f ca="1">'일자별 주가'!F6*'종목 기본정보'!F$2*'종목 기본정보'!F$3</f>
        <v>526617500000</v>
      </c>
      <c r="G6" s="9">
        <f t="shared" ca="1" si="0"/>
        <v>1287857600000</v>
      </c>
      <c r="H6" s="10">
        <f t="shared" ca="1" si="1"/>
        <v>103.44237751004015</v>
      </c>
    </row>
    <row r="7" spans="1:8" x14ac:dyDescent="0.3">
      <c r="A7" s="1">
        <v>6</v>
      </c>
      <c r="B7" s="8">
        <f ca="1">'일자별 주가'!B7*'종목 기본정보'!B$2*'종목 기본정보'!B$3</f>
        <v>77325000000</v>
      </c>
      <c r="C7" s="8">
        <f ca="1">'일자별 주가'!C7*'종목 기본정보'!C$2*'종목 기본정보'!C$3</f>
        <v>93924000000</v>
      </c>
      <c r="D7" s="8">
        <f ca="1">'일자별 주가'!D7*'종목 기본정보'!D$2*'종목 기본정보'!D$3</f>
        <v>496821600000</v>
      </c>
      <c r="E7" s="8">
        <f ca="1">'일자별 주가'!E7*'종목 기본정보'!E$2*'종목 기본정보'!E$3</f>
        <v>88423280000</v>
      </c>
      <c r="F7" s="8">
        <f ca="1">'일자별 주가'!F7*'종목 기본정보'!F$2*'종목 기본정보'!F$3</f>
        <v>514948000000</v>
      </c>
      <c r="G7" s="9">
        <f t="shared" ca="1" si="0"/>
        <v>1271441880000</v>
      </c>
      <c r="H7" s="10">
        <f t="shared" ca="1" si="1"/>
        <v>102.12384578313254</v>
      </c>
    </row>
    <row r="8" spans="1:8" x14ac:dyDescent="0.3">
      <c r="A8" s="1">
        <v>7</v>
      </c>
      <c r="B8" s="8">
        <f ca="1">'일자별 주가'!B8*'종목 기본정보'!B$2*'종목 기본정보'!B$3</f>
        <v>77182500000</v>
      </c>
      <c r="C8" s="8">
        <f ca="1">'일자별 주가'!C8*'종목 기본정보'!C$2*'종목 기본정보'!C$3</f>
        <v>94419000000</v>
      </c>
      <c r="D8" s="8">
        <f ca="1">'일자별 주가'!D8*'종목 기본정보'!D$2*'종목 기본정보'!D$3</f>
        <v>488375600000</v>
      </c>
      <c r="E8" s="8">
        <f ca="1">'일자별 주가'!E8*'종목 기본정보'!E$2*'종목 기본정보'!E$3</f>
        <v>87442960000</v>
      </c>
      <c r="F8" s="8">
        <f ca="1">'일자별 주가'!F8*'종목 기본정보'!F$2*'종목 기본정보'!F$3</f>
        <v>524362000000</v>
      </c>
      <c r="G8" s="9">
        <f t="shared" ca="1" si="0"/>
        <v>1271782060000</v>
      </c>
      <c r="H8" s="10">
        <f t="shared" ca="1" si="1"/>
        <v>102.15116947791165</v>
      </c>
    </row>
    <row r="9" spans="1:8" x14ac:dyDescent="0.3">
      <c r="A9" s="1">
        <v>8</v>
      </c>
      <c r="B9" s="8">
        <f ca="1">'일자별 주가'!B9*'종목 기본정보'!B$2*'종목 기본정보'!B$3</f>
        <v>77850000000</v>
      </c>
      <c r="C9" s="8">
        <f ca="1">'일자별 주가'!C9*'종목 기본정보'!C$2*'종목 기본정보'!C$3</f>
        <v>95256000000</v>
      </c>
      <c r="D9" s="8">
        <f ca="1">'일자별 주가'!D9*'종목 기본정보'!D$2*'종목 기본정보'!D$3</f>
        <v>478945600000</v>
      </c>
      <c r="E9" s="8">
        <f ca="1">'일자별 주가'!E9*'종목 기본정보'!E$2*'종목 기본정보'!E$3</f>
        <v>85532480000</v>
      </c>
      <c r="F9" s="8">
        <f ca="1">'일자별 주가'!F9*'종목 기본정보'!F$2*'종목 기본정보'!F$3</f>
        <v>513940000000</v>
      </c>
      <c r="G9" s="9">
        <f t="shared" ca="1" si="0"/>
        <v>1251524080000</v>
      </c>
      <c r="H9" s="10">
        <f t="shared" ca="1" si="1"/>
        <v>100.52402248995985</v>
      </c>
    </row>
    <row r="10" spans="1:8" x14ac:dyDescent="0.3">
      <c r="A10" s="1">
        <v>9</v>
      </c>
      <c r="B10" s="8">
        <f ca="1">'일자별 주가'!B10*'종목 기본정보'!B$2*'종목 기본정보'!B$3</f>
        <v>75952500000</v>
      </c>
      <c r="C10" s="8">
        <f ca="1">'일자별 주가'!C10*'종목 기본정보'!C$2*'종목 기본정보'!C$3</f>
        <v>96736500000</v>
      </c>
      <c r="D10" s="8">
        <f ca="1">'일자별 주가'!D10*'종목 기본정보'!D$2*'종목 기본정보'!D$3</f>
        <v>465415600000</v>
      </c>
      <c r="E10" s="8">
        <f ca="1">'일자별 주가'!E10*'종목 기본정보'!E$2*'종목 기본정보'!E$3</f>
        <v>84485280000</v>
      </c>
      <c r="F10" s="8">
        <f ca="1">'일자별 주가'!F10*'종목 기본정보'!F$2*'종목 기본정보'!F$3</f>
        <v>524367500000</v>
      </c>
      <c r="G10" s="9">
        <f t="shared" ca="1" si="0"/>
        <v>1246957380000</v>
      </c>
      <c r="H10" s="10">
        <f t="shared" ca="1" si="1"/>
        <v>100.15721927710844</v>
      </c>
    </row>
    <row r="11" spans="1:8" x14ac:dyDescent="0.3">
      <c r="A11" s="1">
        <v>10</v>
      </c>
      <c r="B11" s="8">
        <f ca="1">'일자별 주가'!B11*'종목 기본정보'!B$2*'종목 기본정보'!B$3</f>
        <v>74160000000</v>
      </c>
      <c r="C11" s="8">
        <f ca="1">'일자별 주가'!C11*'종목 기본정보'!C$2*'종목 기본정보'!C$3</f>
        <v>98491500000</v>
      </c>
      <c r="D11" s="8">
        <f ca="1">'일자별 주가'!D11*'종목 기본정보'!D$2*'종목 기본정보'!D$3</f>
        <v>463562400000</v>
      </c>
      <c r="E11" s="8">
        <f ca="1">'일자별 주가'!E11*'종목 기본정보'!E$2*'종목 기본정보'!E$3</f>
        <v>86005040000</v>
      </c>
      <c r="F11" s="8">
        <f ca="1">'일자별 주가'!F11*'종목 기본정보'!F$2*'종목 기본정보'!F$3</f>
        <v>510236000000</v>
      </c>
      <c r="G11" s="9">
        <f t="shared" ca="1" si="0"/>
        <v>1232454940000</v>
      </c>
      <c r="H11" s="10">
        <f t="shared" ca="1" si="1"/>
        <v>98.992364658634528</v>
      </c>
    </row>
    <row r="12" spans="1:8" x14ac:dyDescent="0.3">
      <c r="A12" s="1">
        <v>11</v>
      </c>
      <c r="B12" s="8">
        <f ca="1">'일자별 주가'!B12*'종목 기본정보'!B$2*'종목 기본정보'!B$3</f>
        <v>72712500000</v>
      </c>
      <c r="C12" s="8">
        <f ca="1">'일자별 주가'!C12*'종목 기본정보'!C$2*'종목 기본정보'!C$3</f>
        <v>97866000000</v>
      </c>
      <c r="D12" s="8">
        <f ca="1">'일자별 주가'!D12*'종목 기본정보'!D$2*'종목 기본정보'!D$3</f>
        <v>454460400000</v>
      </c>
      <c r="E12" s="8">
        <f ca="1">'일자별 주가'!E12*'종목 기본정보'!E$2*'종목 기본정보'!E$3</f>
        <v>83728480000</v>
      </c>
      <c r="F12" s="8">
        <f ca="1">'일자별 주가'!F12*'종목 기본정보'!F$2*'종목 기본정보'!F$3</f>
        <v>516701000000</v>
      </c>
      <c r="G12" s="9">
        <f t="shared" ca="1" si="0"/>
        <v>1225468380000</v>
      </c>
      <c r="H12" s="10">
        <f t="shared" ca="1" si="1"/>
        <v>98.431195180722895</v>
      </c>
    </row>
    <row r="13" spans="1:8" x14ac:dyDescent="0.3">
      <c r="A13" s="1">
        <v>12</v>
      </c>
      <c r="B13" s="8">
        <f ca="1">'일자별 주가'!B13*'종목 기본정보'!B$2*'종목 기본정보'!B$3</f>
        <v>72022500000</v>
      </c>
      <c r="C13" s="8">
        <f ca="1">'일자별 주가'!C13*'종목 기본정보'!C$2*'종목 기본정보'!C$3</f>
        <v>95436000000</v>
      </c>
      <c r="D13" s="8">
        <f ca="1">'일자별 주가'!D13*'종목 기본정보'!D$2*'종목 기본정보'!D$3</f>
        <v>451656000000</v>
      </c>
      <c r="E13" s="8">
        <f ca="1">'일자별 주가'!E13*'종목 기본정보'!E$2*'종목 기본정보'!E$3</f>
        <v>86058720000</v>
      </c>
      <c r="F13" s="8">
        <f ca="1">'일자별 주가'!F13*'종목 기본정보'!F$2*'종목 기본정보'!F$3</f>
        <v>521625000000</v>
      </c>
      <c r="G13" s="9">
        <f t="shared" ca="1" si="0"/>
        <v>1226798220000</v>
      </c>
      <c r="H13" s="10">
        <f t="shared" ca="1" si="1"/>
        <v>98.538009638554215</v>
      </c>
    </row>
    <row r="14" spans="1:8" x14ac:dyDescent="0.3">
      <c r="A14" s="1">
        <v>13</v>
      </c>
      <c r="B14" s="8">
        <f ca="1">'일자별 주가'!B14*'종목 기본정보'!B$2*'종목 기본정보'!B$3</f>
        <v>71205000000</v>
      </c>
      <c r="C14" s="8">
        <f ca="1">'일자별 주가'!C14*'종목 기본정보'!C$2*'종목 기본정보'!C$3</f>
        <v>93312000000</v>
      </c>
      <c r="D14" s="8">
        <f ca="1">'일자별 주가'!D14*'종목 기본정보'!D$2*'종목 기본정보'!D$3</f>
        <v>450573600000</v>
      </c>
      <c r="E14" s="8">
        <f ca="1">'일자별 주가'!E14*'종목 기본정보'!E$2*'종목 기본정보'!E$3</f>
        <v>84688560000</v>
      </c>
      <c r="F14" s="8">
        <f ca="1">'일자별 주가'!F14*'종목 기본정보'!F$2*'종목 기본정보'!F$3</f>
        <v>506263000000</v>
      </c>
      <c r="G14" s="9">
        <f t="shared" ca="1" si="0"/>
        <v>1206042160000</v>
      </c>
      <c r="H14" s="10">
        <f t="shared" ca="1" si="1"/>
        <v>96.870856224899597</v>
      </c>
    </row>
    <row r="15" spans="1:8" x14ac:dyDescent="0.3">
      <c r="A15" s="1">
        <v>14</v>
      </c>
      <c r="B15" s="8">
        <f ca="1">'일자별 주가'!B15*'종목 기본정보'!B$2*'종목 기본정보'!B$3</f>
        <v>69705000000</v>
      </c>
      <c r="C15" s="8">
        <f ca="1">'일자별 주가'!C15*'종목 기본정보'!C$2*'종목 기본정보'!C$3</f>
        <v>94581000000</v>
      </c>
      <c r="D15" s="8">
        <f ca="1">'일자별 주가'!D15*'종목 기본정보'!D$2*'종목 기본정보'!D$3</f>
        <v>448490800000</v>
      </c>
      <c r="E15" s="8">
        <f ca="1">'일자별 주가'!E15*'종목 기본정보'!E$2*'종목 기본정보'!E$3</f>
        <v>86493440000</v>
      </c>
      <c r="F15" s="8">
        <f ca="1">'일자별 주가'!F15*'종목 기본정보'!F$2*'종목 기본정보'!F$3</f>
        <v>507449500000</v>
      </c>
      <c r="G15" s="9">
        <f t="shared" ca="1" si="0"/>
        <v>1206719740000</v>
      </c>
      <c r="H15" s="10">
        <f t="shared" ca="1" si="1"/>
        <v>96.925280321285143</v>
      </c>
    </row>
    <row r="16" spans="1:8" x14ac:dyDescent="0.3">
      <c r="A16" s="1">
        <v>15</v>
      </c>
      <c r="B16" s="8">
        <f ca="1">'일자별 주가'!B16*'종목 기본정보'!B$2*'종목 기본정보'!B$3</f>
        <v>67980000000</v>
      </c>
      <c r="C16" s="8">
        <f ca="1">'일자별 주가'!C16*'종목 기본정보'!C$2*'종목 기본정보'!C$3</f>
        <v>91899000000</v>
      </c>
      <c r="D16" s="8">
        <f ca="1">'일자별 주가'!D16*'종목 기본정보'!D$2*'종목 기본정보'!D$3</f>
        <v>457691200000</v>
      </c>
      <c r="E16" s="8">
        <f ca="1">'일자별 주가'!E16*'종목 기본정보'!E$2*'종목 기본정보'!E$3</f>
        <v>84450960000</v>
      </c>
      <c r="F16" s="8">
        <f ca="1">'일자별 주가'!F16*'종목 기본정보'!F$2*'종목 기본정보'!F$3</f>
        <v>492555000000</v>
      </c>
      <c r="G16" s="9">
        <f t="shared" ca="1" si="0"/>
        <v>1194576160000</v>
      </c>
      <c r="H16" s="10">
        <f t="shared" ca="1" si="1"/>
        <v>95.949892369477908</v>
      </c>
    </row>
    <row r="17" spans="1:8" x14ac:dyDescent="0.3">
      <c r="A17" s="1">
        <v>16</v>
      </c>
      <c r="B17" s="8">
        <f ca="1">'일자별 주가'!B17*'종목 기본정보'!B$2*'종목 기본정보'!B$3</f>
        <v>67762500000</v>
      </c>
      <c r="C17" s="8">
        <f ca="1">'일자별 주가'!C17*'종목 기본정보'!C$2*'종목 기본정보'!C$3</f>
        <v>92848500000</v>
      </c>
      <c r="D17" s="8">
        <f ca="1">'일자별 주가'!D17*'종목 기본정보'!D$2*'종목 기본정보'!D$3</f>
        <v>455969200000</v>
      </c>
      <c r="E17" s="8">
        <f ca="1">'일자별 주가'!E17*'종목 기본정보'!E$2*'종목 기본정보'!E$3</f>
        <v>85037040000</v>
      </c>
      <c r="F17" s="8">
        <f ca="1">'일자별 주가'!F17*'종목 기본정보'!F$2*'종목 기본정보'!F$3</f>
        <v>502425500000</v>
      </c>
      <c r="G17" s="9">
        <f t="shared" ca="1" si="0"/>
        <v>1204042740000</v>
      </c>
      <c r="H17" s="10">
        <f t="shared" ca="1" si="1"/>
        <v>96.710260240963848</v>
      </c>
    </row>
    <row r="18" spans="1:8" x14ac:dyDescent="0.3">
      <c r="A18" s="1">
        <v>17</v>
      </c>
      <c r="B18" s="8">
        <f ca="1">'일자별 주가'!B18*'종목 기본정보'!B$2*'종목 기본정보'!B$3</f>
        <v>69607500000</v>
      </c>
      <c r="C18" s="8">
        <f ca="1">'일자별 주가'!C18*'종목 기본정보'!C$2*'종목 기본정보'!C$3</f>
        <v>91071000000</v>
      </c>
      <c r="D18" s="8">
        <f ca="1">'일자별 주가'!D18*'종목 기본정보'!D$2*'종목 기본정보'!D$3</f>
        <v>455444400000</v>
      </c>
      <c r="E18" s="8">
        <f ca="1">'일자별 주가'!E18*'종목 기본정보'!E$2*'종목 기본정보'!E$3</f>
        <v>82654000000</v>
      </c>
      <c r="F18" s="8">
        <f ca="1">'일자별 주가'!F18*'종목 기본정보'!F$2*'종목 기본정보'!F$3</f>
        <v>494592000000</v>
      </c>
      <c r="G18" s="9">
        <f t="shared" ca="1" si="0"/>
        <v>1193368900000</v>
      </c>
      <c r="H18" s="10">
        <f t="shared" ca="1" si="1"/>
        <v>95.852923694779108</v>
      </c>
    </row>
    <row r="19" spans="1:8" x14ac:dyDescent="0.3">
      <c r="A19" s="1">
        <v>18</v>
      </c>
      <c r="B19" s="8">
        <f ca="1">'일자별 주가'!B19*'종목 기본정보'!B$2*'종목 기본정보'!B$3</f>
        <v>71227500000</v>
      </c>
      <c r="C19" s="8">
        <f ca="1">'일자별 주가'!C19*'종목 기본정보'!C$2*'종목 기본정보'!C$3</f>
        <v>92794500000</v>
      </c>
      <c r="D19" s="8">
        <f ca="1">'일자별 주가'!D19*'종목 기본정보'!D$2*'종목 기본정보'!D$3</f>
        <v>447359200000</v>
      </c>
      <c r="E19" s="8">
        <f ca="1">'일자별 주가'!E19*'종목 기본정보'!E$2*'종목 기본정보'!E$3</f>
        <v>82291440000</v>
      </c>
      <c r="F19" s="8">
        <f ca="1">'일자별 주가'!F19*'종목 기본정보'!F$2*'종목 기본정보'!F$3</f>
        <v>501203500000</v>
      </c>
      <c r="G19" s="9">
        <f t="shared" ca="1" si="0"/>
        <v>1194876140000</v>
      </c>
      <c r="H19" s="10">
        <f t="shared" ca="1" si="1"/>
        <v>95.973987148594375</v>
      </c>
    </row>
    <row r="20" spans="1:8" x14ac:dyDescent="0.3">
      <c r="A20" s="1">
        <v>19</v>
      </c>
      <c r="B20" s="8">
        <f ca="1">'일자별 주가'!B20*'종목 기본정보'!B$2*'종목 기본정보'!B$3</f>
        <v>70297500000</v>
      </c>
      <c r="C20" s="8">
        <f ca="1">'일자별 주가'!C20*'종목 기본정보'!C$2*'종목 기본정보'!C$3</f>
        <v>90994500000</v>
      </c>
      <c r="D20" s="8">
        <f ca="1">'일자별 주가'!D20*'종목 기본정보'!D$2*'종목 기본정보'!D$3</f>
        <v>448999200000</v>
      </c>
      <c r="E20" s="8">
        <f ca="1">'일자별 주가'!E20*'종목 기본정보'!E$2*'종목 기본정보'!E$3</f>
        <v>83180240000</v>
      </c>
      <c r="F20" s="8">
        <f ca="1">'일자별 주가'!F20*'종목 기본정보'!F$2*'종목 기본정보'!F$3</f>
        <v>514221000000</v>
      </c>
      <c r="G20" s="9">
        <f t="shared" ca="1" si="0"/>
        <v>1207692440000</v>
      </c>
      <c r="H20" s="10">
        <f t="shared" ca="1" si="1"/>
        <v>97.003408835341361</v>
      </c>
    </row>
    <row r="21" spans="1:8" x14ac:dyDescent="0.3">
      <c r="A21" s="1">
        <v>20</v>
      </c>
      <c r="B21" s="8">
        <f ca="1">'일자별 주가'!B21*'종목 기본정보'!B$2*'종목 기본정보'!B$3</f>
        <v>71572500000</v>
      </c>
      <c r="C21" s="8">
        <f ca="1">'일자별 주가'!C21*'종목 기본정보'!C$2*'종목 기본정보'!C$3</f>
        <v>93231000000</v>
      </c>
      <c r="D21" s="8">
        <f ca="1">'일자별 주가'!D21*'종목 기본정보'!D$2*'종목 기본정보'!D$3</f>
        <v>441799600000</v>
      </c>
      <c r="E21" s="8">
        <f ca="1">'일자별 주가'!E21*'종목 기본정보'!E$2*'종목 기본정보'!E$3</f>
        <v>84450960000</v>
      </c>
      <c r="F21" s="8">
        <f ca="1">'일자별 주가'!F21*'종목 기본정보'!F$2*'종목 기본정보'!F$3</f>
        <v>530448000000</v>
      </c>
      <c r="G21" s="9">
        <f t="shared" ca="1" si="0"/>
        <v>1221502060000</v>
      </c>
      <c r="H21" s="10">
        <f t="shared" ca="1" si="1"/>
        <v>98.112615261044184</v>
      </c>
    </row>
    <row r="22" spans="1:8" x14ac:dyDescent="0.3">
      <c r="A22" s="1">
        <v>21</v>
      </c>
      <c r="B22" s="8">
        <f ca="1">'일자별 주가'!B22*'종목 기본정보'!B$2*'종목 기본정보'!B$3</f>
        <v>72720000000</v>
      </c>
      <c r="C22" s="8">
        <f ca="1">'일자별 주가'!C22*'종목 기본정보'!C$2*'종목 기본정보'!C$3</f>
        <v>94725000000</v>
      </c>
      <c r="D22" s="8">
        <f ca="1">'일자별 주가'!D22*'종목 기본정보'!D$2*'종목 기본정보'!D$3</f>
        <v>452787600000</v>
      </c>
      <c r="E22" s="8">
        <f ca="1">'일자별 주가'!E22*'종목 기본정보'!E$2*'종목 기본정보'!E$3</f>
        <v>82010720000</v>
      </c>
      <c r="F22" s="8">
        <f ca="1">'일자별 주가'!F22*'종목 기본정보'!F$2*'종목 기본정보'!F$3</f>
        <v>523207000000</v>
      </c>
      <c r="G22" s="9">
        <f t="shared" ca="1" si="0"/>
        <v>1225450320000</v>
      </c>
      <c r="H22" s="10">
        <f t="shared" ca="1" si="1"/>
        <v>98.429744578313247</v>
      </c>
    </row>
    <row r="23" spans="1:8" x14ac:dyDescent="0.3">
      <c r="A23" s="1">
        <v>22</v>
      </c>
      <c r="B23" s="8">
        <f ca="1">'일자별 주가'!B23*'종목 기본정보'!B$2*'종목 기본정보'!B$3</f>
        <v>71797500000</v>
      </c>
      <c r="C23" s="8">
        <f ca="1">'일자별 주가'!C23*'종목 기본정보'!C$2*'종목 기본정보'!C$3</f>
        <v>95526000000</v>
      </c>
      <c r="D23" s="8">
        <f ca="1">'일자별 주가'!D23*'종목 기본정보'!D$2*'종목 기본정보'!D$3</f>
        <v>457592800000</v>
      </c>
      <c r="E23" s="8">
        <f ca="1">'일자별 주가'!E23*'종목 기본정보'!E$2*'종목 기본정보'!E$3</f>
        <v>79767600000</v>
      </c>
      <c r="F23" s="8">
        <f ca="1">'일자별 주가'!F23*'종목 기본정보'!F$2*'종목 기본정보'!F$3</f>
        <v>519482000000</v>
      </c>
      <c r="G23" s="9">
        <f t="shared" ca="1" si="0"/>
        <v>1224165900000</v>
      </c>
      <c r="H23" s="10">
        <f t="shared" ca="1" si="1"/>
        <v>98.326578313253009</v>
      </c>
    </row>
    <row r="24" spans="1:8" x14ac:dyDescent="0.3">
      <c r="A24" s="1">
        <v>23</v>
      </c>
      <c r="B24" s="8">
        <f ca="1">'일자별 주가'!B24*'종목 기본정보'!B$2*'종목 기본정보'!B$3</f>
        <v>70342500000</v>
      </c>
      <c r="C24" s="8">
        <f ca="1">'일자별 주가'!C24*'종목 기본정보'!C$2*'종목 기본정보'!C$3</f>
        <v>93271500000</v>
      </c>
      <c r="D24" s="8">
        <f ca="1">'일자별 주가'!D24*'종목 기본정보'!D$2*'종목 기본정보'!D$3</f>
        <v>470975200000</v>
      </c>
      <c r="E24" s="8">
        <f ca="1">'일자별 주가'!E24*'종목 기본정보'!E$2*'종목 기본정보'!E$3</f>
        <v>80724160000</v>
      </c>
      <c r="F24" s="8">
        <f ca="1">'일자별 주가'!F24*'종목 기본정보'!F$2*'종목 기본정보'!F$3</f>
        <v>526149500000</v>
      </c>
      <c r="G24" s="9">
        <f t="shared" ca="1" si="0"/>
        <v>1241462860000</v>
      </c>
      <c r="H24" s="10">
        <f t="shared" ca="1" si="1"/>
        <v>99.715892369477913</v>
      </c>
    </row>
    <row r="25" spans="1:8" x14ac:dyDescent="0.3">
      <c r="A25" s="1">
        <v>24</v>
      </c>
      <c r="B25" s="8">
        <f ca="1">'일자별 주가'!B25*'종목 기본정보'!B$2*'종목 기본정보'!B$3</f>
        <v>72262500000</v>
      </c>
      <c r="C25" s="8">
        <f ca="1">'일자별 주가'!C25*'종목 기본정보'!C$2*'종목 기본정보'!C$3</f>
        <v>90891000000</v>
      </c>
      <c r="D25" s="8">
        <f ca="1">'일자별 주가'!D25*'종목 기본정보'!D$2*'종목 기본정보'!D$3</f>
        <v>464480800000</v>
      </c>
      <c r="E25" s="8">
        <f ca="1">'일자별 주가'!E25*'종목 기본정보'!E$2*'종목 기본정보'!E$3</f>
        <v>82236000000</v>
      </c>
      <c r="F25" s="8">
        <f ca="1">'일자별 주가'!F25*'종목 기본정보'!F$2*'종목 기본정보'!F$3</f>
        <v>522658500000</v>
      </c>
      <c r="G25" s="9">
        <f t="shared" ca="1" si="0"/>
        <v>1232528800000</v>
      </c>
      <c r="H25" s="10">
        <f t="shared" ca="1" si="1"/>
        <v>98.998297188755018</v>
      </c>
    </row>
    <row r="26" spans="1:8" x14ac:dyDescent="0.3">
      <c r="A26" s="1">
        <v>25</v>
      </c>
      <c r="B26" s="8">
        <f ca="1">'일자별 주가'!B26*'종목 기본정보'!B$2*'종목 기본정보'!B$3</f>
        <v>71527500000</v>
      </c>
      <c r="C26" s="8">
        <f ca="1">'일자별 주가'!C26*'종목 기본정보'!C$2*'종목 기본정보'!C$3</f>
        <v>91966500000</v>
      </c>
      <c r="D26" s="8">
        <f ca="1">'일자별 주가'!D26*'종목 기본정보'!D$2*'종목 기본정보'!D$3</f>
        <v>469433600000</v>
      </c>
      <c r="E26" s="8">
        <f ca="1">'일자별 주가'!E26*'종목 기본정보'!E$2*'종목 기본정보'!E$3</f>
        <v>84877760000</v>
      </c>
      <c r="F26" s="8">
        <f ca="1">'일자별 주가'!F26*'종목 기본정보'!F$2*'종목 기본정보'!F$3</f>
        <v>520594000000</v>
      </c>
      <c r="G26" s="9">
        <f t="shared" ca="1" si="0"/>
        <v>1238399360000</v>
      </c>
      <c r="H26" s="10">
        <f t="shared" ca="1" si="1"/>
        <v>99.469828112449804</v>
      </c>
    </row>
    <row r="27" spans="1:8" x14ac:dyDescent="0.3">
      <c r="A27" s="1">
        <v>26</v>
      </c>
      <c r="B27" s="8">
        <f ca="1">'일자별 주가'!B27*'종목 기본정보'!B$2*'종목 기본정보'!B$3</f>
        <v>70080000000</v>
      </c>
      <c r="C27" s="8">
        <f ca="1">'일자별 주가'!C27*'종목 기본정보'!C$2*'종목 기본정보'!C$3</f>
        <v>92110500000</v>
      </c>
      <c r="D27" s="8">
        <f ca="1">'일자별 주가'!D27*'종목 기본정보'!D$2*'종목 기본정보'!D$3</f>
        <v>466022400000</v>
      </c>
      <c r="E27" s="8">
        <f ca="1">'일자별 주가'!E27*'종목 기본정보'!E$2*'종목 기본정보'!E$3</f>
        <v>84572400000</v>
      </c>
      <c r="F27" s="8">
        <f ca="1">'일자별 주가'!F27*'종목 기본정보'!F$2*'종목 기본정보'!F$3</f>
        <v>519898000000</v>
      </c>
      <c r="G27" s="9">
        <f t="shared" ca="1" si="0"/>
        <v>1232683300000</v>
      </c>
      <c r="H27" s="10">
        <f t="shared" ca="1" si="1"/>
        <v>99.010706827309235</v>
      </c>
    </row>
    <row r="28" spans="1:8" x14ac:dyDescent="0.3">
      <c r="A28" s="1">
        <v>27</v>
      </c>
      <c r="B28" s="8">
        <f ca="1">'일자별 주가'!B28*'종목 기본정보'!B$2*'종목 기본정보'!B$3</f>
        <v>69825000000</v>
      </c>
      <c r="C28" s="8">
        <f ca="1">'일자별 주가'!C28*'종목 기본정보'!C$2*'종목 기본정보'!C$3</f>
        <v>94347000000</v>
      </c>
      <c r="D28" s="8">
        <f ca="1">'일자별 주가'!D28*'종목 기본정보'!D$2*'종목 기본정보'!D$3</f>
        <v>469138400000</v>
      </c>
      <c r="E28" s="8">
        <f ca="1">'일자별 주가'!E28*'종목 기본정보'!E$2*'종목 기본정보'!E$3</f>
        <v>86748640000</v>
      </c>
      <c r="F28" s="8">
        <f ca="1">'일자별 주가'!F28*'종목 기본정보'!F$2*'종목 기본정보'!F$3</f>
        <v>509997000000</v>
      </c>
      <c r="G28" s="9">
        <f t="shared" ca="1" si="0"/>
        <v>1230056040000</v>
      </c>
      <c r="H28" s="10">
        <f t="shared" ca="1" si="1"/>
        <v>98.79968192771085</v>
      </c>
    </row>
    <row r="29" spans="1:8" x14ac:dyDescent="0.3">
      <c r="A29" s="1">
        <v>28</v>
      </c>
      <c r="B29" s="8">
        <f ca="1">'일자별 주가'!B29*'종목 기본정보'!B$2*'종목 기본정보'!B$3</f>
        <v>70470000000</v>
      </c>
      <c r="C29" s="8">
        <f ca="1">'일자별 주가'!C29*'종목 기본정보'!C$2*'종목 기본정보'!C$3</f>
        <v>96709500000</v>
      </c>
      <c r="D29" s="8">
        <f ca="1">'일자별 주가'!D29*'종목 기본정보'!D$2*'종목 기본정보'!D$3</f>
        <v>462840800000</v>
      </c>
      <c r="E29" s="8">
        <f ca="1">'일자별 주가'!E29*'종목 기본정보'!E$2*'종목 기본정보'!E$3</f>
        <v>85486720000</v>
      </c>
      <c r="F29" s="8">
        <f ca="1">'일자별 주가'!F29*'종목 기본정보'!F$2*'종목 기본정보'!F$3</f>
        <v>524994000000</v>
      </c>
      <c r="G29" s="9">
        <f t="shared" ca="1" si="0"/>
        <v>1240501020000</v>
      </c>
      <c r="H29" s="10">
        <f t="shared" ca="1" si="1"/>
        <v>99.638636144578314</v>
      </c>
    </row>
    <row r="30" spans="1:8" x14ac:dyDescent="0.3">
      <c r="A30" s="1">
        <v>29</v>
      </c>
      <c r="B30" s="8">
        <f ca="1">'일자별 주가'!B30*'종목 기본정보'!B$2*'종목 기본정보'!B$3</f>
        <v>68707500000</v>
      </c>
      <c r="C30" s="8">
        <f ca="1">'일자별 주가'!C30*'종목 기본정보'!C$2*'종목 기본정보'!C$3</f>
        <v>93996000000</v>
      </c>
      <c r="D30" s="8">
        <f ca="1">'일자별 주가'!D30*'종목 기본정보'!D$2*'종목 기본정보'!D$3</f>
        <v>469023600000</v>
      </c>
      <c r="E30" s="8">
        <f ca="1">'일자별 주가'!E30*'종목 기본정보'!E$2*'종목 기본정보'!E$3</f>
        <v>85205120000</v>
      </c>
      <c r="F30" s="8">
        <f ca="1">'일자별 주가'!F30*'종목 기본정보'!F$2*'종목 기본정보'!F$3</f>
        <v>536041500000</v>
      </c>
      <c r="G30" s="9">
        <f t="shared" ca="1" si="0"/>
        <v>1252973720000</v>
      </c>
      <c r="H30" s="10">
        <f t="shared" ca="1" si="1"/>
        <v>100.64045943775099</v>
      </c>
    </row>
    <row r="31" spans="1:8" x14ac:dyDescent="0.3">
      <c r="A31" s="1">
        <v>30</v>
      </c>
      <c r="B31" s="8">
        <f ca="1">'일자별 주가'!B31*'종목 기본정보'!B$2*'종목 기본정보'!B$3</f>
        <v>68257500000</v>
      </c>
      <c r="C31" s="8">
        <f ca="1">'일자별 주가'!C31*'종목 기본정보'!C$2*'종목 기본정보'!C$3</f>
        <v>94068000000</v>
      </c>
      <c r="D31" s="8">
        <f ca="1">'일자별 주가'!D31*'종목 기본정보'!D$2*'종목 기본정보'!D$3</f>
        <v>457461600000</v>
      </c>
      <c r="E31" s="8">
        <f ca="1">'일자별 주가'!E31*'종목 기본정보'!E$2*'종목 기본정보'!E$3</f>
        <v>84082240000</v>
      </c>
      <c r="F31" s="8">
        <f ca="1">'일자별 주가'!F31*'종목 기본정보'!F$2*'종목 기본정보'!F$3</f>
        <v>543952000000</v>
      </c>
      <c r="G31" s="9">
        <f t="shared" ca="1" si="0"/>
        <v>1247821340000</v>
      </c>
      <c r="H31" s="10">
        <f t="shared" ca="1" si="1"/>
        <v>100.22661365461846</v>
      </c>
    </row>
    <row r="32" spans="1:8" x14ac:dyDescent="0.3">
      <c r="A32" s="1">
        <v>31</v>
      </c>
      <c r="B32" s="8">
        <f ca="1">'일자별 주가'!B32*'종목 기본정보'!B$2*'종목 기본정보'!B$3</f>
        <v>66390000000</v>
      </c>
      <c r="C32" s="8">
        <f ca="1">'일자별 주가'!C32*'종목 기본정보'!C$2*'종목 기본정보'!C$3</f>
        <v>96007500000</v>
      </c>
      <c r="D32" s="8">
        <f ca="1">'일자별 주가'!D32*'종목 기본정보'!D$2*'종목 기본정보'!D$3</f>
        <v>445260000000</v>
      </c>
      <c r="E32" s="8">
        <f ca="1">'일자별 주가'!E32*'종목 기본정보'!E$2*'종목 기본정보'!E$3</f>
        <v>82199920000</v>
      </c>
      <c r="F32" s="8">
        <f ca="1">'일자별 주가'!F32*'종목 기본정보'!F$2*'종목 기본정보'!F$3</f>
        <v>556266500000</v>
      </c>
      <c r="G32" s="9">
        <f t="shared" ca="1" si="0"/>
        <v>1246123920000</v>
      </c>
      <c r="H32" s="10">
        <f t="shared" ca="1" si="1"/>
        <v>100.09027469879518</v>
      </c>
    </row>
    <row r="33" spans="1:8" x14ac:dyDescent="0.3">
      <c r="A33" s="1">
        <v>32</v>
      </c>
      <c r="B33" s="8">
        <f ca="1">'일자별 주가'!B33*'종목 기본정보'!B$2*'종목 기본정보'!B$3</f>
        <v>67875000000</v>
      </c>
      <c r="C33" s="8">
        <f ca="1">'일자별 주가'!C33*'종목 기본정보'!C$2*'종목 기본정보'!C$3</f>
        <v>94023000000</v>
      </c>
      <c r="D33" s="8">
        <f ca="1">'일자별 주가'!D33*'종목 기본정보'!D$2*'종목 기본정보'!D$3</f>
        <v>435879200000</v>
      </c>
      <c r="E33" s="8">
        <f ca="1">'일자별 주가'!E33*'종목 기본정보'!E$2*'종목 기본정보'!E$3</f>
        <v>83458320000</v>
      </c>
      <c r="F33" s="8">
        <f ca="1">'일자별 주가'!F33*'종목 기본정보'!F$2*'종목 기본정보'!F$3</f>
        <v>546033000000</v>
      </c>
      <c r="G33" s="9">
        <f t="shared" ca="1" si="0"/>
        <v>1227268520000</v>
      </c>
      <c r="H33" s="10">
        <f t="shared" ca="1" si="1"/>
        <v>98.575784738955818</v>
      </c>
    </row>
    <row r="34" spans="1:8" x14ac:dyDescent="0.3">
      <c r="A34" s="1">
        <v>33</v>
      </c>
      <c r="B34" s="8">
        <f ca="1">'일자별 주가'!B34*'종목 기본정보'!B$2*'종목 기본정보'!B$3</f>
        <v>69847500000</v>
      </c>
      <c r="C34" s="8">
        <f ca="1">'일자별 주가'!C34*'종목 기본정보'!C$2*'종목 기본정보'!C$3</f>
        <v>95080500000</v>
      </c>
      <c r="D34" s="8">
        <f ca="1">'일자별 주가'!D34*'종목 기본정보'!D$2*'종목 기본정보'!D$3</f>
        <v>426137600000</v>
      </c>
      <c r="E34" s="8">
        <f ca="1">'일자별 주가'!E34*'종목 기본정보'!E$2*'종목 기본정보'!E$3</f>
        <v>82518480000</v>
      </c>
      <c r="F34" s="8">
        <f ca="1">'일자별 주가'!F34*'종목 기본정보'!F$2*'종목 기본정보'!F$3</f>
        <v>557150500000</v>
      </c>
      <c r="G34" s="9">
        <f t="shared" ca="1" si="0"/>
        <v>1230734580000</v>
      </c>
      <c r="H34" s="10">
        <f t="shared" ca="1" si="1"/>
        <v>98.85418313253011</v>
      </c>
    </row>
    <row r="35" spans="1:8" x14ac:dyDescent="0.3">
      <c r="A35" s="1">
        <v>34</v>
      </c>
      <c r="B35" s="8">
        <f ca="1">'일자별 주가'!B35*'종목 기본정보'!B$2*'종목 기본정보'!B$3</f>
        <v>70920000000</v>
      </c>
      <c r="C35" s="8">
        <f ca="1">'일자별 주가'!C35*'종목 기본정보'!C$2*'종목 기본정보'!C$3</f>
        <v>97128000000</v>
      </c>
      <c r="D35" s="8">
        <f ca="1">'일자별 주가'!D35*'종목 기본정보'!D$2*'종목 기본정보'!D$3</f>
        <v>431320000000</v>
      </c>
      <c r="E35" s="8">
        <f ca="1">'일자별 주가'!E35*'종목 기본정보'!E$2*'종목 기본정보'!E$3</f>
        <v>80997840000</v>
      </c>
      <c r="F35" s="8">
        <f ca="1">'일자별 주가'!F35*'종목 기본정보'!F$2*'종목 기본정보'!F$3</f>
        <v>561660500000</v>
      </c>
      <c r="G35" s="9">
        <f t="shared" ca="1" si="0"/>
        <v>1242026340000</v>
      </c>
      <c r="H35" s="10">
        <f t="shared" ca="1" si="1"/>
        <v>99.761151807228927</v>
      </c>
    </row>
    <row r="36" spans="1:8" x14ac:dyDescent="0.3">
      <c r="A36" s="1">
        <v>35</v>
      </c>
      <c r="B36" s="8">
        <f ca="1">'일자별 주가'!B36*'종목 기본정보'!B$2*'종목 기본정보'!B$3</f>
        <v>71985000000</v>
      </c>
      <c r="C36" s="8">
        <f ca="1">'일자별 주가'!C36*'종목 기본정보'!C$2*'종목 기본정보'!C$3</f>
        <v>97015500000</v>
      </c>
      <c r="D36" s="8">
        <f ca="1">'일자별 주가'!D36*'종목 기본정보'!D$2*'종목 기본정보'!D$3</f>
        <v>431582400000</v>
      </c>
      <c r="E36" s="8">
        <f ca="1">'일자별 주가'!E36*'종목 기본정보'!E$2*'종목 기본정보'!E$3</f>
        <v>79522080000</v>
      </c>
      <c r="F36" s="8">
        <f ca="1">'일자별 주가'!F36*'종목 기본정보'!F$2*'종목 기본정보'!F$3</f>
        <v>574244000000</v>
      </c>
      <c r="G36" s="9">
        <f t="shared" ca="1" si="0"/>
        <v>1254348980000</v>
      </c>
      <c r="H36" s="10">
        <f t="shared" ca="1" si="1"/>
        <v>100.75092208835341</v>
      </c>
    </row>
    <row r="37" spans="1:8" x14ac:dyDescent="0.3">
      <c r="A37" s="1">
        <v>36</v>
      </c>
      <c r="B37" s="8">
        <f ca="1">'일자별 주가'!B37*'종목 기본정보'!B$2*'종목 기본정보'!B$3</f>
        <v>71880000000</v>
      </c>
      <c r="C37" s="8">
        <f ca="1">'일자별 주가'!C37*'종목 기본정보'!C$2*'종목 기본정보'!C$3</f>
        <v>98217000000</v>
      </c>
      <c r="D37" s="8">
        <f ca="1">'일자별 주가'!D37*'종목 기본정보'!D$2*'종목 기본정보'!D$3</f>
        <v>421808000000</v>
      </c>
      <c r="E37" s="8">
        <f ca="1">'일자별 주가'!E37*'종목 기본정보'!E$2*'종목 기본정보'!E$3</f>
        <v>78946560000</v>
      </c>
      <c r="F37" s="8">
        <f ca="1">'일자별 주가'!F37*'종목 기본정보'!F$2*'종목 기본정보'!F$3</f>
        <v>580653000000</v>
      </c>
      <c r="G37" s="9">
        <f t="shared" ca="1" si="0"/>
        <v>1251504560000</v>
      </c>
      <c r="H37" s="10">
        <f t="shared" ca="1" si="1"/>
        <v>100.52245461847389</v>
      </c>
    </row>
    <row r="38" spans="1:8" x14ac:dyDescent="0.3">
      <c r="A38" s="1">
        <v>37</v>
      </c>
      <c r="B38" s="8">
        <f ca="1">'일자별 주가'!B38*'종목 기본정보'!B$2*'종목 기본정보'!B$3</f>
        <v>72825000000</v>
      </c>
      <c r="C38" s="8">
        <f ca="1">'일자별 주가'!C38*'종목 기본정보'!C$2*'종목 기본정보'!C$3</f>
        <v>95863500000</v>
      </c>
      <c r="D38" s="8">
        <f ca="1">'일자별 주가'!D38*'종목 기본정보'!D$2*'종목 기본정보'!D$3</f>
        <v>433566800000</v>
      </c>
      <c r="E38" s="8">
        <f ca="1">'일자별 주가'!E38*'종목 기본정보'!E$2*'종목 기본정보'!E$3</f>
        <v>79588080000</v>
      </c>
      <c r="F38" s="8">
        <f ca="1">'일자별 주가'!F38*'종목 기본정보'!F$2*'종목 기본정보'!F$3</f>
        <v>564391500000</v>
      </c>
      <c r="G38" s="9">
        <f t="shared" ca="1" si="0"/>
        <v>1246234880000</v>
      </c>
      <c r="H38" s="10">
        <f t="shared" ca="1" si="1"/>
        <v>100.09918714859438</v>
      </c>
    </row>
    <row r="39" spans="1:8" x14ac:dyDescent="0.3">
      <c r="A39" s="1">
        <v>38</v>
      </c>
      <c r="B39" s="8">
        <f ca="1">'일자별 주가'!B39*'종목 기본정보'!B$2*'종목 기본정보'!B$3</f>
        <v>72217500000</v>
      </c>
      <c r="C39" s="8">
        <f ca="1">'일자별 주가'!C39*'종목 기본정보'!C$2*'종목 기본정보'!C$3</f>
        <v>96768000000</v>
      </c>
      <c r="D39" s="8">
        <f ca="1">'일자별 주가'!D39*'종목 기본정보'!D$2*'종목 기본정보'!D$3</f>
        <v>422480400000</v>
      </c>
      <c r="E39" s="8">
        <f ca="1">'일자별 주가'!E39*'종목 기본정보'!E$2*'종목 기본정보'!E$3</f>
        <v>80260400000</v>
      </c>
      <c r="F39" s="8">
        <f ca="1">'일자별 주가'!F39*'종목 기본정보'!F$2*'종목 기본정보'!F$3</f>
        <v>552041000000</v>
      </c>
      <c r="G39" s="9">
        <f t="shared" ca="1" si="0"/>
        <v>1223767300000</v>
      </c>
      <c r="H39" s="10">
        <f t="shared" ca="1" si="1"/>
        <v>98.294562248995987</v>
      </c>
    </row>
    <row r="40" spans="1:8" x14ac:dyDescent="0.3">
      <c r="A40" s="1">
        <v>39</v>
      </c>
      <c r="B40" s="8">
        <f ca="1">'일자별 주가'!B40*'종목 기본정보'!B$2*'종목 기본정보'!B$3</f>
        <v>73500000000</v>
      </c>
      <c r="C40" s="8">
        <f ca="1">'일자별 주가'!C40*'종목 기본정보'!C$2*'종목 기본정보'!C$3</f>
        <v>97677000000</v>
      </c>
      <c r="D40" s="8">
        <f ca="1">'일자별 주가'!D40*'종목 기본정보'!D$2*'종목 기본정보'!D$3</f>
        <v>412706000000</v>
      </c>
      <c r="E40" s="8">
        <f ca="1">'일자별 주가'!E40*'종목 기본정보'!E$2*'종목 기본정보'!E$3</f>
        <v>79091760000</v>
      </c>
      <c r="F40" s="8">
        <f ca="1">'일자별 주가'!F40*'종목 기본정보'!F$2*'종목 기본정보'!F$3</f>
        <v>535962000000</v>
      </c>
      <c r="G40" s="9">
        <f t="shared" ca="1" si="0"/>
        <v>1198936760000</v>
      </c>
      <c r="H40" s="10">
        <f t="shared" ca="1" si="1"/>
        <v>96.30014136546184</v>
      </c>
    </row>
    <row r="41" spans="1:8" x14ac:dyDescent="0.3">
      <c r="A41" s="1">
        <v>40</v>
      </c>
      <c r="B41" s="8">
        <f ca="1">'일자별 주가'!B41*'종목 기본정보'!B$2*'종목 기본정보'!B$3</f>
        <v>72210000000</v>
      </c>
      <c r="C41" s="8">
        <f ca="1">'일자별 주가'!C41*'종목 기본정보'!C$2*'종목 기본정보'!C$3</f>
        <v>97497000000</v>
      </c>
      <c r="D41" s="8">
        <f ca="1">'일자별 주가'!D41*'종목 기본정보'!D$2*'종목 기본정보'!D$3</f>
        <v>414575600000</v>
      </c>
      <c r="E41" s="8">
        <f ca="1">'일자별 주가'!E41*'종목 기본정보'!E$2*'종목 기본정보'!E$3</f>
        <v>77491040000</v>
      </c>
      <c r="F41" s="8">
        <f ca="1">'일자별 주가'!F41*'종목 기본정보'!F$2*'종목 기본정보'!F$3</f>
        <v>531017000000</v>
      </c>
      <c r="G41" s="9">
        <f t="shared" ca="1" si="0"/>
        <v>1192790640000</v>
      </c>
      <c r="H41" s="10">
        <f t="shared" ca="1" si="1"/>
        <v>95.806477108433725</v>
      </c>
    </row>
    <row r="42" spans="1:8" x14ac:dyDescent="0.3">
      <c r="A42" s="1">
        <v>41</v>
      </c>
      <c r="B42" s="8">
        <f ca="1">'일자별 주가'!B42*'종목 기본정보'!B$2*'종목 기본정보'!B$3</f>
        <v>72450000000</v>
      </c>
      <c r="C42" s="8">
        <f ca="1">'일자별 주가'!C42*'종목 기본정보'!C$2*'종목 기본정보'!C$3</f>
        <v>96291000000</v>
      </c>
      <c r="D42" s="8">
        <f ca="1">'일자별 주가'!D42*'종목 기본정보'!D$2*'종목 기본정보'!D$3</f>
        <v>427351200000</v>
      </c>
      <c r="E42" s="8">
        <f ca="1">'일자별 주가'!E42*'종목 기본정보'!E$2*'종목 기본정보'!E$3</f>
        <v>78303280000</v>
      </c>
      <c r="F42" s="8">
        <f ca="1">'일자별 주가'!F42*'종목 기본정보'!F$2*'종목 기본정보'!F$3</f>
        <v>528429000000</v>
      </c>
      <c r="G42" s="9">
        <f t="shared" ca="1" si="0"/>
        <v>1202824480000</v>
      </c>
      <c r="H42" s="10">
        <f t="shared" ca="1" si="1"/>
        <v>96.612408032128513</v>
      </c>
    </row>
    <row r="43" spans="1:8" x14ac:dyDescent="0.3">
      <c r="A43" s="1">
        <v>42</v>
      </c>
      <c r="B43" s="8">
        <f ca="1">'일자별 주가'!B43*'종목 기본정보'!B$2*'종목 기본정보'!B$3</f>
        <v>70297500000</v>
      </c>
      <c r="C43" s="8">
        <f ca="1">'일자별 주가'!C43*'종목 기본정보'!C$2*'종목 기본정보'!C$3</f>
        <v>95112000000</v>
      </c>
      <c r="D43" s="8">
        <f ca="1">'일자별 주가'!D43*'종목 기본정보'!D$2*'종목 기본정보'!D$3</f>
        <v>425908000000</v>
      </c>
      <c r="E43" s="8">
        <f ca="1">'일자별 주가'!E43*'종목 기본정보'!E$2*'종목 기본정보'!E$3</f>
        <v>79069760000</v>
      </c>
      <c r="F43" s="8">
        <f ca="1">'일자별 주가'!F43*'종목 기본정보'!F$2*'종목 기본정보'!F$3</f>
        <v>538434000000</v>
      </c>
      <c r="G43" s="9">
        <f t="shared" ca="1" si="0"/>
        <v>1208821260000</v>
      </c>
      <c r="H43" s="10">
        <f t="shared" ca="1" si="1"/>
        <v>97.094077108433723</v>
      </c>
    </row>
    <row r="44" spans="1:8" x14ac:dyDescent="0.3">
      <c r="A44" s="1">
        <v>43</v>
      </c>
      <c r="B44" s="8">
        <f ca="1">'일자별 주가'!B44*'종목 기본정보'!B$2*'종목 기본정보'!B$3</f>
        <v>71182500000</v>
      </c>
      <c r="C44" s="8">
        <f ca="1">'일자별 주가'!C44*'종목 기본정보'!C$2*'종목 기본정보'!C$3</f>
        <v>93469500000</v>
      </c>
      <c r="D44" s="8">
        <f ca="1">'일자별 주가'!D44*'종목 기본정보'!D$2*'종목 기본정보'!D$3</f>
        <v>413739200000</v>
      </c>
      <c r="E44" s="8">
        <f ca="1">'일자별 주가'!E44*'종목 기본정보'!E$2*'종목 기본정보'!E$3</f>
        <v>77795520000</v>
      </c>
      <c r="F44" s="8">
        <f ca="1">'일자별 주가'!F44*'종목 기본정보'!F$2*'종목 기본정보'!F$3</f>
        <v>545755500000</v>
      </c>
      <c r="G44" s="9">
        <f t="shared" ca="1" si="0"/>
        <v>1201942220000</v>
      </c>
      <c r="H44" s="10">
        <f t="shared" ca="1" si="1"/>
        <v>96.541543775100408</v>
      </c>
    </row>
    <row r="45" spans="1:8" x14ac:dyDescent="0.3">
      <c r="A45" s="1">
        <v>44</v>
      </c>
      <c r="B45" s="8">
        <f ca="1">'일자별 주가'!B45*'종목 기본정보'!B$2*'종목 기본정보'!B$3</f>
        <v>69105000000</v>
      </c>
      <c r="C45" s="8">
        <f ca="1">'일자별 주가'!C45*'종목 기본정보'!C$2*'종목 기본정보'!C$3</f>
        <v>96502500000</v>
      </c>
      <c r="D45" s="8">
        <f ca="1">'일자별 주가'!D45*'종목 기본정보'!D$2*'종목 기본정보'!D$3</f>
        <v>420889600000</v>
      </c>
      <c r="E45" s="8">
        <f ca="1">'일자별 주가'!E45*'종목 기본정보'!E$2*'종목 기본정보'!E$3</f>
        <v>77608080000</v>
      </c>
      <c r="F45" s="8">
        <f ca="1">'일자별 주가'!F45*'종목 기본정보'!F$2*'종목 기본정보'!F$3</f>
        <v>542698000000</v>
      </c>
      <c r="G45" s="9">
        <f t="shared" ca="1" si="0"/>
        <v>1206803180000</v>
      </c>
      <c r="H45" s="10">
        <f t="shared" ca="1" si="1"/>
        <v>96.931982329317265</v>
      </c>
    </row>
    <row r="46" spans="1:8" x14ac:dyDescent="0.3">
      <c r="A46" s="1">
        <v>45</v>
      </c>
      <c r="B46" s="8">
        <f ca="1">'일자별 주가'!B46*'종목 기본정보'!B$2*'종목 기본정보'!B$3</f>
        <v>68370000000</v>
      </c>
      <c r="C46" s="8">
        <f ca="1">'일자별 주가'!C46*'종목 기본정보'!C$2*'종목 기본정보'!C$3</f>
        <v>98482500000</v>
      </c>
      <c r="D46" s="8">
        <f ca="1">'일자별 주가'!D46*'종목 기본정보'!D$2*'종목 기본정보'!D$3</f>
        <v>424825600000</v>
      </c>
      <c r="E46" s="8">
        <f ca="1">'일자별 주가'!E46*'종목 기본정보'!E$2*'종목 기본정보'!E$3</f>
        <v>77511280000</v>
      </c>
      <c r="F46" s="8">
        <f ca="1">'일자별 주가'!F46*'종목 기본정보'!F$2*'종목 기본정보'!F$3</f>
        <v>535944500000</v>
      </c>
      <c r="G46" s="9">
        <f t="shared" ca="1" si="0"/>
        <v>1205133880000</v>
      </c>
      <c r="H46" s="10">
        <f t="shared" ca="1" si="1"/>
        <v>96.797902008032139</v>
      </c>
    </row>
    <row r="47" spans="1:8" x14ac:dyDescent="0.3">
      <c r="A47" s="1">
        <v>46</v>
      </c>
      <c r="B47" s="8">
        <f ca="1">'일자별 주가'!B47*'종목 기본정보'!B$2*'종목 기본정보'!B$3</f>
        <v>68820000000</v>
      </c>
      <c r="C47" s="8">
        <f ca="1">'일자별 주가'!C47*'종목 기본정보'!C$2*'종목 기본정보'!C$3</f>
        <v>98595000000</v>
      </c>
      <c r="D47" s="8">
        <f ca="1">'일자별 주가'!D47*'종목 기본정보'!D$2*'종목 기본정보'!D$3</f>
        <v>427564400000</v>
      </c>
      <c r="E47" s="8">
        <f ca="1">'일자별 주가'!E47*'종목 기본정보'!E$2*'종목 기본정보'!E$3</f>
        <v>77198880000</v>
      </c>
      <c r="F47" s="8">
        <f ca="1">'일자별 주가'!F47*'종목 기본정보'!F$2*'종목 기본정보'!F$3</f>
        <v>542738000000</v>
      </c>
      <c r="G47" s="9">
        <f t="shared" ca="1" si="0"/>
        <v>1214916280000</v>
      </c>
      <c r="H47" s="10">
        <f t="shared" ca="1" si="1"/>
        <v>97.583636947791163</v>
      </c>
    </row>
    <row r="48" spans="1:8" x14ac:dyDescent="0.3">
      <c r="A48" s="1">
        <v>47</v>
      </c>
      <c r="B48" s="8">
        <f ca="1">'일자별 주가'!B48*'종목 기본정보'!B$2*'종목 기본정보'!B$3</f>
        <v>69832500000</v>
      </c>
      <c r="C48" s="8">
        <f ca="1">'일자별 주가'!C48*'종목 기본정보'!C$2*'종목 기본정보'!C$3</f>
        <v>97200000000</v>
      </c>
      <c r="D48" s="8">
        <f ca="1">'일자별 주가'!D48*'종목 기본정보'!D$2*'종목 기본정보'!D$3</f>
        <v>427515200000</v>
      </c>
      <c r="E48" s="8">
        <f ca="1">'일자별 주가'!E48*'종목 기본정보'!E$2*'종목 기본정보'!E$3</f>
        <v>76175440000</v>
      </c>
      <c r="F48" s="8">
        <f ca="1">'일자별 주가'!F48*'종목 기본정보'!F$2*'종목 기본정보'!F$3</f>
        <v>551732000000</v>
      </c>
      <c r="G48" s="9">
        <f t="shared" ca="1" si="0"/>
        <v>1222455140000</v>
      </c>
      <c r="H48" s="10">
        <f t="shared" ca="1" si="1"/>
        <v>98.189167871485935</v>
      </c>
    </row>
    <row r="49" spans="1:8" x14ac:dyDescent="0.3">
      <c r="A49" s="1">
        <v>48</v>
      </c>
      <c r="B49" s="8">
        <f ca="1">'일자별 주가'!B49*'종목 기본정보'!B$2*'종목 기본정보'!B$3</f>
        <v>68880000000</v>
      </c>
      <c r="C49" s="8">
        <f ca="1">'일자별 주가'!C49*'종목 기본정보'!C$2*'종목 기본정보'!C$3</f>
        <v>96219000000</v>
      </c>
      <c r="D49" s="8">
        <f ca="1">'일자별 주가'!D49*'종목 기본정보'!D$2*'종목 기본정보'!D$3</f>
        <v>435616800000</v>
      </c>
      <c r="E49" s="8">
        <f ca="1">'일자별 주가'!E49*'종목 기본정보'!E$2*'종목 기본정보'!E$3</f>
        <v>78181840000</v>
      </c>
      <c r="F49" s="8">
        <f ca="1">'일자별 주가'!F49*'종목 기본정보'!F$2*'종목 기본정보'!F$3</f>
        <v>539042000000</v>
      </c>
      <c r="G49" s="9">
        <f t="shared" ca="1" si="0"/>
        <v>1217939640000</v>
      </c>
      <c r="H49" s="10">
        <f t="shared" ca="1" si="1"/>
        <v>97.826477108433735</v>
      </c>
    </row>
    <row r="50" spans="1:8" x14ac:dyDescent="0.3">
      <c r="A50" s="1">
        <v>49</v>
      </c>
      <c r="B50" s="8">
        <f ca="1">'일자별 주가'!B50*'종목 기본정보'!B$2*'종목 기본정보'!B$3</f>
        <v>70410000000</v>
      </c>
      <c r="C50" s="8">
        <f ca="1">'일자별 주가'!C50*'종목 기본정보'!C$2*'종목 기본정보'!C$3</f>
        <v>93978000000</v>
      </c>
      <c r="D50" s="8">
        <f ca="1">'일자별 주가'!D50*'종목 기본정보'!D$2*'종목 기본정보'!D$3</f>
        <v>441028800000</v>
      </c>
      <c r="E50" s="8">
        <f ca="1">'일자별 주가'!E50*'종목 기본정보'!E$2*'종목 기본정보'!E$3</f>
        <v>76805520000</v>
      </c>
      <c r="F50" s="8">
        <f ca="1">'일자별 주가'!F50*'종목 기본정보'!F$2*'종목 기본정보'!F$3</f>
        <v>534588000000</v>
      </c>
      <c r="G50" s="9">
        <f t="shared" ca="1" si="0"/>
        <v>1216810320000</v>
      </c>
      <c r="H50" s="10">
        <f t="shared" ca="1" si="1"/>
        <v>97.735768674698804</v>
      </c>
    </row>
    <row r="51" spans="1:8" x14ac:dyDescent="0.3">
      <c r="A51" s="1">
        <v>50</v>
      </c>
      <c r="B51" s="8">
        <f ca="1">'일자별 주가'!B51*'종목 기본정보'!B$2*'종목 기본정보'!B$3</f>
        <v>72525000000</v>
      </c>
      <c r="C51" s="8">
        <f ca="1">'일자별 주가'!C51*'종목 기본정보'!C$2*'종목 기본정보'!C$3</f>
        <v>92263500000</v>
      </c>
      <c r="D51" s="8">
        <f ca="1">'일자별 주가'!D51*'종목 기본정보'!D$2*'종목 기본정보'!D$3</f>
        <v>429991600000</v>
      </c>
      <c r="E51" s="8">
        <f ca="1">'일자별 주가'!E51*'종목 기본정보'!E$2*'종목 기본정보'!E$3</f>
        <v>78000560000</v>
      </c>
      <c r="F51" s="8">
        <f ca="1">'일자별 주가'!F51*'종목 기본정보'!F$2*'종목 기본정보'!F$3</f>
        <v>540797500000</v>
      </c>
      <c r="G51" s="9">
        <f t="shared" ca="1" si="0"/>
        <v>1213578160000</v>
      </c>
      <c r="H51" s="10">
        <f t="shared" ca="1" si="1"/>
        <v>97.476157429718882</v>
      </c>
    </row>
    <row r="52" spans="1:8" x14ac:dyDescent="0.3">
      <c r="A52" s="1">
        <v>51</v>
      </c>
      <c r="B52" s="8">
        <f ca="1">'일자별 주가'!B52*'종목 기본정보'!B$2*'종목 기본정보'!B$3</f>
        <v>72112500000</v>
      </c>
      <c r="C52" s="8">
        <f ca="1">'일자별 주가'!C52*'종목 기본정보'!C$2*'종목 기본정보'!C$3</f>
        <v>93033000000</v>
      </c>
      <c r="D52" s="8">
        <f ca="1">'일자별 주가'!D52*'종목 기본정보'!D$2*'종목 기본정보'!D$3</f>
        <v>435944800000</v>
      </c>
      <c r="E52" s="8">
        <f ca="1">'일자별 주가'!E52*'종목 기본정보'!E$2*'종목 기본정보'!E$3</f>
        <v>76343520000</v>
      </c>
      <c r="F52" s="8">
        <f ca="1">'일자별 주가'!F52*'종목 기본정보'!F$2*'종목 기본정보'!F$3</f>
        <v>524845500000</v>
      </c>
      <c r="G52" s="9">
        <f t="shared" ca="1" si="0"/>
        <v>1202279320000</v>
      </c>
      <c r="H52" s="10">
        <f t="shared" ca="1" si="1"/>
        <v>96.568620080321281</v>
      </c>
    </row>
    <row r="53" spans="1:8" x14ac:dyDescent="0.3">
      <c r="A53" s="1">
        <v>52</v>
      </c>
      <c r="B53" s="8">
        <f ca="1">'일자별 주가'!B53*'종목 기본정보'!B$2*'종목 기본정보'!B$3</f>
        <v>74017500000</v>
      </c>
      <c r="C53" s="8">
        <f ca="1">'일자별 주가'!C53*'종목 기본정보'!C$2*'종목 기본정보'!C$3</f>
        <v>92412000000</v>
      </c>
      <c r="D53" s="8">
        <f ca="1">'일자별 주가'!D53*'종목 기본정보'!D$2*'종목 기본정보'!D$3</f>
        <v>425055200000</v>
      </c>
      <c r="E53" s="8">
        <f ca="1">'일자별 주가'!E53*'종목 기본정보'!E$2*'종목 기본정보'!E$3</f>
        <v>77810480000</v>
      </c>
      <c r="F53" s="8">
        <f ca="1">'일자별 주가'!F53*'종목 기본정보'!F$2*'종목 기본정보'!F$3</f>
        <v>511981500000</v>
      </c>
      <c r="G53" s="9">
        <f t="shared" ca="1" si="0"/>
        <v>1181276680000</v>
      </c>
      <c r="H53" s="10">
        <f t="shared" ca="1" si="1"/>
        <v>94.881661044176695</v>
      </c>
    </row>
    <row r="54" spans="1:8" x14ac:dyDescent="0.3">
      <c r="A54" s="1">
        <v>53</v>
      </c>
      <c r="B54" s="8">
        <f ca="1">'일자별 주가'!B54*'종목 기본정보'!B$2*'종목 기본정보'!B$3</f>
        <v>75735000000</v>
      </c>
      <c r="C54" s="8">
        <f ca="1">'일자별 주가'!C54*'종목 기본정보'!C$2*'종목 기본정보'!C$3</f>
        <v>94716000000</v>
      </c>
      <c r="D54" s="8">
        <f ca="1">'일자별 주가'!D54*'종목 기본정보'!D$2*'종목 기본정보'!D$3</f>
        <v>432090800000</v>
      </c>
      <c r="E54" s="8">
        <f ca="1">'일자별 주가'!E54*'종목 기본정보'!E$2*'종목 기본정보'!E$3</f>
        <v>76481680000</v>
      </c>
      <c r="F54" s="8">
        <f ca="1">'일자별 주가'!F54*'종목 기본정보'!F$2*'종목 기본정보'!F$3</f>
        <v>522798500000</v>
      </c>
      <c r="G54" s="9">
        <f t="shared" ca="1" si="0"/>
        <v>1201821980000</v>
      </c>
      <c r="H54" s="10">
        <f t="shared" ca="1" si="1"/>
        <v>96.531885943775094</v>
      </c>
    </row>
    <row r="55" spans="1:8" x14ac:dyDescent="0.3">
      <c r="A55" s="1">
        <v>54</v>
      </c>
      <c r="B55" s="8">
        <f ca="1">'일자별 주가'!B55*'종목 기본정보'!B$2*'종목 기본정보'!B$3</f>
        <v>77850000000</v>
      </c>
      <c r="C55" s="8">
        <f ca="1">'일자별 주가'!C55*'종목 기본정보'!C$2*'종목 기본정보'!C$3</f>
        <v>94734000000</v>
      </c>
      <c r="D55" s="8">
        <f ca="1">'일자별 주가'!D55*'종목 기본정보'!D$2*'종목 기본정보'!D$3</f>
        <v>424973200000</v>
      </c>
      <c r="E55" s="8">
        <f ca="1">'일자별 주가'!E55*'종목 기본정보'!E$2*'종목 기본정보'!E$3</f>
        <v>78660560000</v>
      </c>
      <c r="F55" s="8">
        <f ca="1">'일자별 주가'!F55*'종목 기본정보'!F$2*'종목 기본정보'!F$3</f>
        <v>511990500000</v>
      </c>
      <c r="G55" s="9">
        <f t="shared" ca="1" si="0"/>
        <v>1188208260000</v>
      </c>
      <c r="H55" s="10">
        <f t="shared" ca="1" si="1"/>
        <v>95.438414457831328</v>
      </c>
    </row>
    <row r="56" spans="1:8" x14ac:dyDescent="0.3">
      <c r="A56" s="1">
        <v>55</v>
      </c>
      <c r="B56" s="8">
        <f ca="1">'일자별 주가'!B56*'종목 기본정보'!B$2*'종목 기본정보'!B$3</f>
        <v>77587500000</v>
      </c>
      <c r="C56" s="8">
        <f ca="1">'일자별 주가'!C56*'종목 기본정보'!C$2*'종목 기본정보'!C$3</f>
        <v>96862500000</v>
      </c>
      <c r="D56" s="8">
        <f ca="1">'일자별 주가'!D56*'종목 기본정보'!D$2*'종목 기본정보'!D$3</f>
        <v>435961200000</v>
      </c>
      <c r="E56" s="8">
        <f ca="1">'일자별 주가'!E56*'종목 기본정보'!E$2*'종목 기본정보'!E$3</f>
        <v>80188240000</v>
      </c>
      <c r="F56" s="8">
        <f ca="1">'일자별 주가'!F56*'종목 기본정보'!F$2*'종목 기본정보'!F$3</f>
        <v>504235500000</v>
      </c>
      <c r="G56" s="9">
        <f t="shared" ca="1" si="0"/>
        <v>1194834940000</v>
      </c>
      <c r="H56" s="10">
        <f t="shared" ca="1" si="1"/>
        <v>95.97067791164659</v>
      </c>
    </row>
    <row r="57" spans="1:8" x14ac:dyDescent="0.3">
      <c r="A57" s="1">
        <v>56</v>
      </c>
      <c r="B57" s="8">
        <f ca="1">'일자별 주가'!B57*'종목 기본정보'!B$2*'종목 기본정보'!B$3</f>
        <v>77602500000</v>
      </c>
      <c r="C57" s="8">
        <f ca="1">'일자별 주가'!C57*'종목 기본정보'!C$2*'종목 기본정보'!C$3</f>
        <v>97011000000</v>
      </c>
      <c r="D57" s="8">
        <f ca="1">'일자별 주가'!D57*'종목 기본정보'!D$2*'종목 기본정보'!D$3</f>
        <v>434764000000</v>
      </c>
      <c r="E57" s="8">
        <f ca="1">'일자별 주가'!E57*'종목 기본정보'!E$2*'종목 기본정보'!E$3</f>
        <v>79339040000</v>
      </c>
      <c r="F57" s="8">
        <f ca="1">'일자별 주가'!F57*'종목 기본정보'!F$2*'종목 기본정보'!F$3</f>
        <v>497862500000</v>
      </c>
      <c r="G57" s="9">
        <f t="shared" ca="1" si="0"/>
        <v>1186579040000</v>
      </c>
      <c r="H57" s="10">
        <f t="shared" ca="1" si="1"/>
        <v>95.307553413654617</v>
      </c>
    </row>
    <row r="58" spans="1:8" x14ac:dyDescent="0.3">
      <c r="A58" s="1">
        <v>57</v>
      </c>
      <c r="B58" s="8">
        <f ca="1">'일자별 주가'!B58*'종목 기본정보'!B$2*'종목 기본정보'!B$3</f>
        <v>77790000000</v>
      </c>
      <c r="C58" s="8">
        <f ca="1">'일자별 주가'!C58*'종목 기본정보'!C$2*'종목 기본정보'!C$3</f>
        <v>98937000000</v>
      </c>
      <c r="D58" s="8">
        <f ca="1">'일자별 주가'!D58*'종목 기본정보'!D$2*'종목 기본정보'!D$3</f>
        <v>446276800000</v>
      </c>
      <c r="E58" s="8">
        <f ca="1">'일자별 주가'!E58*'종목 기본정보'!E$2*'종목 기본정보'!E$3</f>
        <v>80094080000</v>
      </c>
      <c r="F58" s="8">
        <f ca="1">'일자별 주가'!F58*'종목 기본정보'!F$2*'종목 기본정보'!F$3</f>
        <v>489732000000</v>
      </c>
      <c r="G58" s="9">
        <f t="shared" ca="1" si="0"/>
        <v>1192829880000</v>
      </c>
      <c r="H58" s="10">
        <f t="shared" ca="1" si="1"/>
        <v>95.809628915662643</v>
      </c>
    </row>
    <row r="59" spans="1:8" x14ac:dyDescent="0.3">
      <c r="A59" s="1">
        <v>58</v>
      </c>
      <c r="B59" s="8">
        <f ca="1">'일자별 주가'!B59*'종목 기본정보'!B$2*'종목 기본정보'!B$3</f>
        <v>78097500000</v>
      </c>
      <c r="C59" s="8">
        <f ca="1">'일자별 주가'!C59*'종목 기본정보'!C$2*'종목 기본정보'!C$3</f>
        <v>98842500000</v>
      </c>
      <c r="D59" s="8">
        <f ca="1">'일자별 주가'!D59*'종목 기본정보'!D$2*'종목 기본정보'!D$3</f>
        <v>450475200000</v>
      </c>
      <c r="E59" s="8">
        <f ca="1">'일자별 주가'!E59*'종목 기본정보'!E$2*'종목 기본정보'!E$3</f>
        <v>77721600000</v>
      </c>
      <c r="F59" s="8">
        <f ca="1">'일자별 주가'!F59*'종목 기본정보'!F$2*'종목 기본정보'!F$3</f>
        <v>490462500000</v>
      </c>
      <c r="G59" s="9">
        <f t="shared" ca="1" si="0"/>
        <v>1195599300000</v>
      </c>
      <c r="H59" s="10">
        <f t="shared" ca="1" si="1"/>
        <v>96.032072289156616</v>
      </c>
    </row>
    <row r="60" spans="1:8" x14ac:dyDescent="0.3">
      <c r="A60" s="1">
        <v>59</v>
      </c>
      <c r="B60" s="8">
        <f ca="1">'일자별 주가'!B60*'종목 기본정보'!B$2*'종목 기본정보'!B$3</f>
        <v>76882500000</v>
      </c>
      <c r="C60" s="8">
        <f ca="1">'일자별 주가'!C60*'종목 기본정보'!C$2*'종목 기본정보'!C$3</f>
        <v>100683000000</v>
      </c>
      <c r="D60" s="8">
        <f ca="1">'일자별 주가'!D60*'종목 기본정보'!D$2*'종목 기본정보'!D$3</f>
        <v>452820400000</v>
      </c>
      <c r="E60" s="8">
        <f ca="1">'일자별 주가'!E60*'종목 기본정보'!E$2*'종목 기본정보'!E$3</f>
        <v>79518560000</v>
      </c>
      <c r="F60" s="8">
        <f ca="1">'일자별 주가'!F60*'종목 기본정보'!F$2*'종목 기본정보'!F$3</f>
        <v>480756500000</v>
      </c>
      <c r="G60" s="9">
        <f t="shared" ca="1" si="0"/>
        <v>1190660960000</v>
      </c>
      <c r="H60" s="10">
        <f t="shared" ca="1" si="1"/>
        <v>95.635418473895584</v>
      </c>
    </row>
    <row r="61" spans="1:8" x14ac:dyDescent="0.3">
      <c r="A61" s="1">
        <v>60</v>
      </c>
      <c r="B61" s="8">
        <f ca="1">'일자별 주가'!B61*'종목 기본정보'!B$2*'종목 기본정보'!B$3</f>
        <v>76065000000</v>
      </c>
      <c r="C61" s="8">
        <f ca="1">'일자별 주가'!C61*'종목 기본정보'!C$2*'종목 기본정보'!C$3</f>
        <v>101767500000</v>
      </c>
      <c r="D61" s="8">
        <f ca="1">'일자별 주가'!D61*'종목 기본정보'!D$2*'종목 기본정보'!D$3</f>
        <v>467334400000</v>
      </c>
      <c r="E61" s="8">
        <f ca="1">'일자별 주가'!E61*'종목 기본정보'!E$2*'종목 기본정보'!E$3</f>
        <v>78254000000</v>
      </c>
      <c r="F61" s="8">
        <f ca="1">'일자별 주가'!F61*'종목 기본정보'!F$2*'종목 기본정보'!F$3</f>
        <v>476948500000</v>
      </c>
      <c r="G61" s="9">
        <f t="shared" ca="1" si="0"/>
        <v>1200369400000</v>
      </c>
      <c r="H61" s="10">
        <f t="shared" ca="1" si="1"/>
        <v>96.415212851405613</v>
      </c>
    </row>
    <row r="62" spans="1:8" x14ac:dyDescent="0.3">
      <c r="A62" s="1">
        <v>61</v>
      </c>
      <c r="B62" s="8">
        <f ca="1">'일자별 주가'!B62*'종목 기본정보'!B$2*'종목 기본정보'!B$3</f>
        <v>77295000000</v>
      </c>
      <c r="C62" s="8">
        <f ca="1">'일자별 주가'!C62*'종목 기본정보'!C$2*'종목 기본정보'!C$3</f>
        <v>100786500000</v>
      </c>
      <c r="D62" s="8">
        <f ca="1">'일자별 주가'!D62*'종목 기본정보'!D$2*'종목 기본정보'!D$3</f>
        <v>467432800000</v>
      </c>
      <c r="E62" s="8">
        <f ca="1">'일자별 주가'!E62*'종목 기본정보'!E$2*'종목 기본정보'!E$3</f>
        <v>79086480000</v>
      </c>
      <c r="F62" s="8">
        <f ca="1">'일자별 주가'!F62*'종목 기본정보'!F$2*'종목 기본정보'!F$3</f>
        <v>470668500000</v>
      </c>
      <c r="G62" s="9">
        <f t="shared" ca="1" si="0"/>
        <v>1195269280000</v>
      </c>
      <c r="H62" s="10">
        <f t="shared" ca="1" si="1"/>
        <v>96.00556465863454</v>
      </c>
    </row>
    <row r="63" spans="1:8" x14ac:dyDescent="0.3">
      <c r="A63" s="1">
        <v>62</v>
      </c>
      <c r="B63" s="8">
        <f ca="1">'일자별 주가'!B63*'종목 기본정보'!B$2*'종목 기본정보'!B$3</f>
        <v>76162500000</v>
      </c>
      <c r="C63" s="8">
        <f ca="1">'일자별 주가'!C63*'종목 기본정보'!C$2*'종목 기본정보'!C$3</f>
        <v>101502000000</v>
      </c>
      <c r="D63" s="8">
        <f ca="1">'일자별 주가'!D63*'종목 기본정보'!D$2*'종목 기본정보'!D$3</f>
        <v>481044800000</v>
      </c>
      <c r="E63" s="8">
        <f ca="1">'일자별 주가'!E63*'종목 기본정보'!E$2*'종목 기본정보'!E$3</f>
        <v>77650320000</v>
      </c>
      <c r="F63" s="8">
        <f ca="1">'일자별 주가'!F63*'종목 기본정보'!F$2*'종목 기본정보'!F$3</f>
        <v>456634000000</v>
      </c>
      <c r="G63" s="9">
        <f t="shared" ca="1" si="0"/>
        <v>1192993620000</v>
      </c>
      <c r="H63" s="10">
        <f t="shared" ca="1" si="1"/>
        <v>95.822780722891565</v>
      </c>
    </row>
    <row r="64" spans="1:8" x14ac:dyDescent="0.3">
      <c r="A64" s="1">
        <v>63</v>
      </c>
      <c r="B64" s="8">
        <f ca="1">'일자별 주가'!B64*'종목 기본정보'!B$2*'종목 기본정보'!B$3</f>
        <v>75390000000</v>
      </c>
      <c r="C64" s="8">
        <f ca="1">'일자별 주가'!C64*'종목 기본정보'!C$2*'종목 기본정보'!C$3</f>
        <v>99697500000</v>
      </c>
      <c r="D64" s="8">
        <f ca="1">'일자별 주가'!D64*'종목 기본정보'!D$2*'종목 기본정보'!D$3</f>
        <v>480224800000</v>
      </c>
      <c r="E64" s="8">
        <f ca="1">'일자별 주가'!E64*'종목 기본정보'!E$2*'종목 기본정보'!E$3</f>
        <v>76149920000</v>
      </c>
      <c r="F64" s="8">
        <f ca="1">'일자별 주가'!F64*'종목 기본정보'!F$2*'종목 기본정보'!F$3</f>
        <v>468496500000</v>
      </c>
      <c r="G64" s="9">
        <f t="shared" ca="1" si="0"/>
        <v>1199958720000</v>
      </c>
      <c r="H64" s="10">
        <f t="shared" ca="1" si="1"/>
        <v>96.382226506024097</v>
      </c>
    </row>
    <row r="65" spans="1:8" x14ac:dyDescent="0.3">
      <c r="A65" s="1">
        <v>64</v>
      </c>
      <c r="B65" s="8">
        <f ca="1">'일자별 주가'!B65*'종목 기본정보'!B$2*'종목 기본정보'!B$3</f>
        <v>75105000000</v>
      </c>
      <c r="C65" s="8">
        <f ca="1">'일자별 주가'!C65*'종목 기본정보'!C$2*'종목 기본정보'!C$3</f>
        <v>98325000000</v>
      </c>
      <c r="D65" s="8">
        <f ca="1">'일자별 주가'!D65*'종목 기본정보'!D$2*'종목 기본정보'!D$3</f>
        <v>484046000000</v>
      </c>
      <c r="E65" s="8">
        <f ca="1">'일자별 주가'!E65*'종목 기본정보'!E$2*'종목 기본정보'!E$3</f>
        <v>76183360000</v>
      </c>
      <c r="F65" s="8">
        <f ca="1">'일자별 주가'!F65*'종목 기본정보'!F$2*'종목 기본정보'!F$3</f>
        <v>474751500000</v>
      </c>
      <c r="G65" s="9">
        <f t="shared" ca="1" si="0"/>
        <v>1208410860000</v>
      </c>
      <c r="H65" s="10">
        <f t="shared" ca="1" si="1"/>
        <v>97.061113253012039</v>
      </c>
    </row>
    <row r="66" spans="1:8" x14ac:dyDescent="0.3">
      <c r="A66" s="1">
        <v>65</v>
      </c>
      <c r="B66" s="8">
        <f ca="1">'일자별 주가'!B66*'종목 기본정보'!B$2*'종목 기본정보'!B$3</f>
        <v>76755000000</v>
      </c>
      <c r="C66" s="8">
        <f ca="1">'일자별 주가'!C66*'종목 기본정보'!C$2*'종목 기본정보'!C$3</f>
        <v>96718500000</v>
      </c>
      <c r="D66" s="8">
        <f ca="1">'일자별 주가'!D66*'종목 기본정보'!D$2*'종목 기본정보'!D$3</f>
        <v>471254000000</v>
      </c>
      <c r="E66" s="8">
        <f ca="1">'일자별 주가'!E66*'종목 기본정보'!E$2*'종목 기본정보'!E$3</f>
        <v>78486320000</v>
      </c>
      <c r="F66" s="8">
        <f ca="1">'일자별 주가'!F66*'종목 기본정보'!F$2*'종목 기본정보'!F$3</f>
        <v>475410500000</v>
      </c>
      <c r="G66" s="9">
        <f t="shared" ca="1" si="0"/>
        <v>1198624320000</v>
      </c>
      <c r="H66" s="10">
        <f t="shared" ca="1" si="1"/>
        <v>96.275045783132526</v>
      </c>
    </row>
    <row r="67" spans="1:8" x14ac:dyDescent="0.3">
      <c r="A67" s="1">
        <v>66</v>
      </c>
      <c r="B67" s="8">
        <f ca="1">'일자별 주가'!B67*'종목 기본정보'!B$2*'종목 기본정보'!B$3</f>
        <v>74677500000</v>
      </c>
      <c r="C67" s="8">
        <f ca="1">'일자별 주가'!C67*'종목 기본정보'!C$2*'종목 기본정보'!C$3</f>
        <v>99409500000</v>
      </c>
      <c r="D67" s="8">
        <f ca="1">'일자별 주가'!D67*'종목 기본정보'!D$2*'종목 기본정보'!D$3</f>
        <v>464743200000</v>
      </c>
      <c r="E67" s="8">
        <f ca="1">'일자별 주가'!E67*'종목 기본정보'!E$2*'종목 기본정보'!E$3</f>
        <v>80191760000</v>
      </c>
      <c r="F67" s="8">
        <f ca="1">'일자별 주가'!F67*'종목 기본정보'!F$2*'종목 기본정보'!F$3</f>
        <v>471076500000</v>
      </c>
      <c r="G67" s="9">
        <f t="shared" ref="G67:G130" ca="1" si="2">SUM(B67:F67)</f>
        <v>1190098460000</v>
      </c>
      <c r="H67" s="10">
        <f t="shared" ref="H67:H130" ca="1" si="3">G67/G$2*100</f>
        <v>95.590237751004011</v>
      </c>
    </row>
    <row r="68" spans="1:8" x14ac:dyDescent="0.3">
      <c r="A68" s="1">
        <v>67</v>
      </c>
      <c r="B68" s="8">
        <f ca="1">'일자별 주가'!B68*'종목 기본정보'!B$2*'종목 기본정보'!B$3</f>
        <v>76117500000</v>
      </c>
      <c r="C68" s="8">
        <f ca="1">'일자별 주가'!C68*'종목 기본정보'!C$2*'종목 기본정보'!C$3</f>
        <v>98419500000</v>
      </c>
      <c r="D68" s="8">
        <f ca="1">'일자별 주가'!D68*'종목 기본정보'!D$2*'종목 기본정보'!D$3</f>
        <v>469384400000</v>
      </c>
      <c r="E68" s="8">
        <f ca="1">'일자별 주가'!E68*'종목 기본정보'!E$2*'종목 기본정보'!E$3</f>
        <v>80373040000</v>
      </c>
      <c r="F68" s="8">
        <f ca="1">'일자별 주가'!F68*'종목 기본정보'!F$2*'종목 기본정보'!F$3</f>
        <v>478594000000</v>
      </c>
      <c r="G68" s="9">
        <f t="shared" ca="1" si="2"/>
        <v>1202888440000</v>
      </c>
      <c r="H68" s="10">
        <f t="shared" ca="1" si="3"/>
        <v>96.617545381526099</v>
      </c>
    </row>
    <row r="69" spans="1:8" x14ac:dyDescent="0.3">
      <c r="A69" s="1">
        <v>68</v>
      </c>
      <c r="B69" s="8">
        <f ca="1">'일자별 주가'!B69*'종목 기본정보'!B$2*'종목 기본정보'!B$3</f>
        <v>77535000000</v>
      </c>
      <c r="C69" s="8">
        <f ca="1">'일자별 주가'!C69*'종목 기본정보'!C$2*'종목 기본정보'!C$3</f>
        <v>100008000000</v>
      </c>
      <c r="D69" s="8">
        <f ca="1">'일자별 주가'!D69*'종목 기본정보'!D$2*'종목 기본정보'!D$3</f>
        <v>455608400000</v>
      </c>
      <c r="E69" s="8">
        <f ca="1">'일자별 주가'!E69*'종목 기본정보'!E$2*'종목 기본정보'!E$3</f>
        <v>80234000000</v>
      </c>
      <c r="F69" s="8">
        <f ca="1">'일자별 주가'!F69*'종목 기본정보'!F$2*'종목 기본정보'!F$3</f>
        <v>487765000000</v>
      </c>
      <c r="G69" s="9">
        <f t="shared" ca="1" si="2"/>
        <v>1201150400000</v>
      </c>
      <c r="H69" s="10">
        <f t="shared" ca="1" si="3"/>
        <v>96.4779437751004</v>
      </c>
    </row>
    <row r="70" spans="1:8" x14ac:dyDescent="0.3">
      <c r="A70" s="1">
        <v>69</v>
      </c>
      <c r="B70" s="8">
        <f ca="1">'일자별 주가'!B70*'종목 기본정보'!B$2*'종목 기본정보'!B$3</f>
        <v>79650000000</v>
      </c>
      <c r="C70" s="8">
        <f ca="1">'일자별 주가'!C70*'종목 기본정보'!C$2*'종목 기본정보'!C$3</f>
        <v>98392500000</v>
      </c>
      <c r="D70" s="8">
        <f ca="1">'일자별 주가'!D70*'종목 기본정보'!D$2*'종목 기본정보'!D$3</f>
        <v>465054800000</v>
      </c>
      <c r="E70" s="8">
        <f ca="1">'일자별 주가'!E70*'종목 기본정보'!E$2*'종목 기본정보'!E$3</f>
        <v>82116320000</v>
      </c>
      <c r="F70" s="8">
        <f ca="1">'일자별 주가'!F70*'종목 기본정보'!F$2*'종목 기본정보'!F$3</f>
        <v>488947000000</v>
      </c>
      <c r="G70" s="9">
        <f t="shared" ca="1" si="2"/>
        <v>1214160620000</v>
      </c>
      <c r="H70" s="10">
        <f t="shared" ca="1" si="3"/>
        <v>97.522941365461847</v>
      </c>
    </row>
    <row r="71" spans="1:8" x14ac:dyDescent="0.3">
      <c r="A71" s="1">
        <v>70</v>
      </c>
      <c r="B71" s="8">
        <f ca="1">'일자별 주가'!B71*'종목 기본정보'!B$2*'종목 기본정보'!B$3</f>
        <v>81217500000</v>
      </c>
      <c r="C71" s="8">
        <f ca="1">'일자별 주가'!C71*'종목 기본정보'!C$2*'종목 기본정보'!C$3</f>
        <v>101200500000</v>
      </c>
      <c r="D71" s="8">
        <f ca="1">'일자별 주가'!D71*'종목 기본정보'!D$2*'종목 기본정보'!D$3</f>
        <v>459298400000</v>
      </c>
      <c r="E71" s="8">
        <f ca="1">'일자별 주가'!E71*'종목 기본정보'!E$2*'종목 기본정보'!E$3</f>
        <v>83080800000</v>
      </c>
      <c r="F71" s="8">
        <f ca="1">'일자별 주가'!F71*'종목 기본정보'!F$2*'종목 기본정보'!F$3</f>
        <v>487160000000</v>
      </c>
      <c r="G71" s="9">
        <f t="shared" ca="1" si="2"/>
        <v>1211957200000</v>
      </c>
      <c r="H71" s="10">
        <f t="shared" ca="1" si="3"/>
        <v>97.345959839357434</v>
      </c>
    </row>
    <row r="72" spans="1:8" x14ac:dyDescent="0.3">
      <c r="A72" s="1">
        <v>71</v>
      </c>
      <c r="B72" s="8">
        <f ca="1">'일자별 주가'!B72*'종목 기본정보'!B$2*'종목 기본정보'!B$3</f>
        <v>83497500000</v>
      </c>
      <c r="C72" s="8">
        <f ca="1">'일자별 주가'!C72*'종목 기본정보'!C$2*'종목 기본정보'!C$3</f>
        <v>102240000000</v>
      </c>
      <c r="D72" s="8">
        <f ca="1">'일자별 주가'!D72*'종목 기본정보'!D$2*'종목 기본정보'!D$3</f>
        <v>464628400000</v>
      </c>
      <c r="E72" s="8">
        <f ca="1">'일자별 주가'!E72*'종목 기본정보'!E$2*'종목 기본정보'!E$3</f>
        <v>83622880000</v>
      </c>
      <c r="F72" s="8">
        <f ca="1">'일자별 주가'!F72*'종목 기본정보'!F$2*'종목 기본정보'!F$3</f>
        <v>482383500000</v>
      </c>
      <c r="G72" s="9">
        <f t="shared" ca="1" si="2"/>
        <v>1216372280000</v>
      </c>
      <c r="H72" s="10">
        <f t="shared" ca="1" si="3"/>
        <v>97.700584738955826</v>
      </c>
    </row>
    <row r="73" spans="1:8" x14ac:dyDescent="0.3">
      <c r="A73" s="1">
        <v>72</v>
      </c>
      <c r="B73" s="8">
        <f ca="1">'일자별 주가'!B73*'종목 기본정보'!B$2*'종목 기본정보'!B$3</f>
        <v>84547500000</v>
      </c>
      <c r="C73" s="8">
        <f ca="1">'일자별 주가'!C73*'종목 기본정보'!C$2*'종목 기본정보'!C$3</f>
        <v>101682000000</v>
      </c>
      <c r="D73" s="8">
        <f ca="1">'일자별 주가'!D73*'종목 기본정보'!D$2*'종목 기본정보'!D$3</f>
        <v>474009200000</v>
      </c>
      <c r="E73" s="8">
        <f ca="1">'일자별 주가'!E73*'종목 기본정보'!E$2*'종목 기본정보'!E$3</f>
        <v>83590320000</v>
      </c>
      <c r="F73" s="8">
        <f ca="1">'일자별 주가'!F73*'종목 기본정보'!F$2*'종목 기본정보'!F$3</f>
        <v>481556000000</v>
      </c>
      <c r="G73" s="9">
        <f t="shared" ca="1" si="2"/>
        <v>1225385020000</v>
      </c>
      <c r="H73" s="10">
        <f t="shared" ca="1" si="3"/>
        <v>98.424499598393581</v>
      </c>
    </row>
    <row r="74" spans="1:8" x14ac:dyDescent="0.3">
      <c r="A74" s="1">
        <v>73</v>
      </c>
      <c r="B74" s="8">
        <f ca="1">'일자별 주가'!B74*'종목 기본정보'!B$2*'종목 기본정보'!B$3</f>
        <v>86047500000</v>
      </c>
      <c r="C74" s="8">
        <f ca="1">'일자별 주가'!C74*'종목 기본정보'!C$2*'종목 기본정보'!C$3</f>
        <v>102019500000</v>
      </c>
      <c r="D74" s="8">
        <f ca="1">'일자별 주가'!D74*'종목 기본정보'!D$2*'종목 기본정보'!D$3</f>
        <v>460167600000</v>
      </c>
      <c r="E74" s="8">
        <f ca="1">'일자별 주가'!E74*'종목 기본정보'!E$2*'종목 기본정보'!E$3</f>
        <v>83018320000</v>
      </c>
      <c r="F74" s="8">
        <f ca="1">'일자별 주가'!F74*'종목 기본정보'!F$2*'종목 기본정보'!F$3</f>
        <v>493687500000</v>
      </c>
      <c r="G74" s="9">
        <f t="shared" ca="1" si="2"/>
        <v>1224940420000</v>
      </c>
      <c r="H74" s="10">
        <f t="shared" ca="1" si="3"/>
        <v>98.388788755020087</v>
      </c>
    </row>
    <row r="75" spans="1:8" x14ac:dyDescent="0.3">
      <c r="A75" s="1">
        <v>74</v>
      </c>
      <c r="B75" s="8">
        <f ca="1">'일자별 주가'!B75*'종목 기본정보'!B$2*'종목 기본정보'!B$3</f>
        <v>84652500000</v>
      </c>
      <c r="C75" s="8">
        <f ca="1">'일자별 주가'!C75*'종목 기본정보'!C$2*'종목 기본정보'!C$3</f>
        <v>104895000000</v>
      </c>
      <c r="D75" s="8">
        <f ca="1">'일자별 주가'!D75*'종목 기본정보'!D$2*'종목 기본정보'!D$3</f>
        <v>469499200000</v>
      </c>
      <c r="E75" s="8">
        <f ca="1">'일자별 주가'!E75*'종목 기본정보'!E$2*'종목 기본정보'!E$3</f>
        <v>83118640000</v>
      </c>
      <c r="F75" s="8">
        <f ca="1">'일자별 주가'!F75*'종목 기본정보'!F$2*'종목 기본정보'!F$3</f>
        <v>504446500000</v>
      </c>
      <c r="G75" s="9">
        <f t="shared" ca="1" si="2"/>
        <v>1246611840000</v>
      </c>
      <c r="H75" s="10">
        <f t="shared" ca="1" si="3"/>
        <v>100.12946506024096</v>
      </c>
    </row>
    <row r="76" spans="1:8" x14ac:dyDescent="0.3">
      <c r="A76" s="1">
        <v>75</v>
      </c>
      <c r="B76" s="8">
        <f ca="1">'일자별 주가'!B76*'종목 기본정보'!B$2*'종목 기본정보'!B$3</f>
        <v>86437500000</v>
      </c>
      <c r="C76" s="8">
        <f ca="1">'일자별 주가'!C76*'종목 기본정보'!C$2*'종목 기본정보'!C$3</f>
        <v>103846500000</v>
      </c>
      <c r="D76" s="8">
        <f ca="1">'일자별 주가'!D76*'종목 기본정보'!D$2*'종목 기본정보'!D$3</f>
        <v>468154400000</v>
      </c>
      <c r="E76" s="8">
        <f ca="1">'일자별 주가'!E76*'종목 기본정보'!E$2*'종목 기본정보'!E$3</f>
        <v>83483840000</v>
      </c>
      <c r="F76" s="8">
        <f ca="1">'일자별 주가'!F76*'종목 기본정보'!F$2*'종목 기본정보'!F$3</f>
        <v>506415000000</v>
      </c>
      <c r="G76" s="9">
        <f t="shared" ca="1" si="2"/>
        <v>1248337240000</v>
      </c>
      <c r="H76" s="10">
        <f t="shared" ca="1" si="3"/>
        <v>100.26805140562249</v>
      </c>
    </row>
    <row r="77" spans="1:8" x14ac:dyDescent="0.3">
      <c r="A77" s="1">
        <v>76</v>
      </c>
      <c r="B77" s="8">
        <f ca="1">'일자별 주가'!B77*'종목 기본정보'!B$2*'종목 기본정보'!B$3</f>
        <v>86347500000</v>
      </c>
      <c r="C77" s="8">
        <f ca="1">'일자별 주가'!C77*'종목 기본정보'!C$2*'종목 기본정보'!C$3</f>
        <v>105291000000</v>
      </c>
      <c r="D77" s="8">
        <f ca="1">'일자별 주가'!D77*'종목 기본정보'!D$2*'종목 기본정보'!D$3</f>
        <v>460528400000</v>
      </c>
      <c r="E77" s="8">
        <f ca="1">'일자별 주가'!E77*'종목 기본정보'!E$2*'종목 기본정보'!E$3</f>
        <v>84040000000</v>
      </c>
      <c r="F77" s="8">
        <f ca="1">'일자별 주가'!F77*'종목 기본정보'!F$2*'종목 기본정보'!F$3</f>
        <v>510982500000</v>
      </c>
      <c r="G77" s="9">
        <f t="shared" ca="1" si="2"/>
        <v>1247189400000</v>
      </c>
      <c r="H77" s="10">
        <f t="shared" ca="1" si="3"/>
        <v>100.17585542168675</v>
      </c>
    </row>
    <row r="78" spans="1:8" x14ac:dyDescent="0.3">
      <c r="A78" s="1">
        <v>77</v>
      </c>
      <c r="B78" s="8">
        <f ca="1">'일자별 주가'!B78*'종목 기본정보'!B$2*'종목 기본정보'!B$3</f>
        <v>88080000000</v>
      </c>
      <c r="C78" s="8">
        <f ca="1">'일자별 주가'!C78*'종목 기본정보'!C$2*'종목 기본정보'!C$3</f>
        <v>107082000000</v>
      </c>
      <c r="D78" s="8">
        <f ca="1">'일자별 주가'!D78*'종목 기본정보'!D$2*'종목 기본정보'!D$3</f>
        <v>453624000000</v>
      </c>
      <c r="E78" s="8">
        <f ca="1">'일자별 주가'!E78*'종목 기본정보'!E$2*'종목 기본정보'!E$3</f>
        <v>84325120000</v>
      </c>
      <c r="F78" s="8">
        <f ca="1">'일자별 주가'!F78*'종목 기본정보'!F$2*'종목 기본정보'!F$3</f>
        <v>520986500000</v>
      </c>
      <c r="G78" s="9">
        <f t="shared" ca="1" si="2"/>
        <v>1254097620000</v>
      </c>
      <c r="H78" s="10">
        <f t="shared" ca="1" si="3"/>
        <v>100.73073253012048</v>
      </c>
    </row>
    <row r="79" spans="1:8" x14ac:dyDescent="0.3">
      <c r="A79" s="1">
        <v>78</v>
      </c>
      <c r="B79" s="8">
        <f ca="1">'일자별 주가'!B79*'종목 기본정보'!B$2*'종목 기본정보'!B$3</f>
        <v>88102500000</v>
      </c>
      <c r="C79" s="8">
        <f ca="1">'일자별 주가'!C79*'종목 기본정보'!C$2*'종목 기본정보'!C$3</f>
        <v>106123500000</v>
      </c>
      <c r="D79" s="8">
        <f ca="1">'일자별 주가'!D79*'종목 기본정보'!D$2*'종목 기본정보'!D$3</f>
        <v>448556400000</v>
      </c>
      <c r="E79" s="8">
        <f ca="1">'일자별 주가'!E79*'종목 기본정보'!E$2*'종목 기본정보'!E$3</f>
        <v>86902640000</v>
      </c>
      <c r="F79" s="8">
        <f ca="1">'일자별 주가'!F79*'종목 기본정보'!F$2*'종목 기본정보'!F$3</f>
        <v>536595000000</v>
      </c>
      <c r="G79" s="9">
        <f t="shared" ca="1" si="2"/>
        <v>1266280040000</v>
      </c>
      <c r="H79" s="10">
        <f t="shared" ca="1" si="3"/>
        <v>101.70924016064258</v>
      </c>
    </row>
    <row r="80" spans="1:8" x14ac:dyDescent="0.3">
      <c r="A80" s="1">
        <v>79</v>
      </c>
      <c r="B80" s="8">
        <f ca="1">'일자별 주가'!B80*'종목 기본정보'!B$2*'종목 기본정보'!B$3</f>
        <v>88815000000</v>
      </c>
      <c r="C80" s="8">
        <f ca="1">'일자별 주가'!C80*'종목 기본정보'!C$2*'종목 기본정보'!C$3</f>
        <v>105007500000</v>
      </c>
      <c r="D80" s="8">
        <f ca="1">'일자별 주가'!D80*'종목 기본정보'!D$2*'종목 기본정보'!D$3</f>
        <v>439536400000</v>
      </c>
      <c r="E80" s="8">
        <f ca="1">'일자별 주가'!E80*'종목 기본정보'!E$2*'종목 기본정보'!E$3</f>
        <v>88538560000</v>
      </c>
      <c r="F80" s="8">
        <f ca="1">'일자별 주가'!F80*'종목 기본정보'!F$2*'종목 기본정보'!F$3</f>
        <v>530574500000</v>
      </c>
      <c r="G80" s="9">
        <f t="shared" ca="1" si="2"/>
        <v>1252471960000</v>
      </c>
      <c r="H80" s="10">
        <f t="shared" ca="1" si="3"/>
        <v>100.60015742971888</v>
      </c>
    </row>
    <row r="81" spans="1:8" x14ac:dyDescent="0.3">
      <c r="A81" s="1">
        <v>80</v>
      </c>
      <c r="B81" s="8">
        <f ca="1">'일자별 주가'!B81*'종목 기본정보'!B$2*'종목 기본정보'!B$3</f>
        <v>89437500000</v>
      </c>
      <c r="C81" s="8">
        <f ca="1">'일자별 주가'!C81*'종목 기본정보'!C$2*'종목 기본정보'!C$3</f>
        <v>106650000000</v>
      </c>
      <c r="D81" s="8">
        <f ca="1">'일자별 주가'!D81*'종목 기본정보'!D$2*'종목 기본정보'!D$3</f>
        <v>439913600000</v>
      </c>
      <c r="E81" s="8">
        <f ca="1">'일자별 주가'!E81*'종목 기본정보'!E$2*'종목 기본정보'!E$3</f>
        <v>88746240000</v>
      </c>
      <c r="F81" s="8">
        <f ca="1">'일자별 주가'!F81*'종목 기본정보'!F$2*'종목 기본정보'!F$3</f>
        <v>522490000000</v>
      </c>
      <c r="G81" s="9">
        <f t="shared" ca="1" si="2"/>
        <v>1247237340000</v>
      </c>
      <c r="H81" s="10">
        <f t="shared" ca="1" si="3"/>
        <v>100.17970602409638</v>
      </c>
    </row>
    <row r="82" spans="1:8" x14ac:dyDescent="0.3">
      <c r="A82" s="1">
        <v>81</v>
      </c>
      <c r="B82" s="8">
        <f ca="1">'일자별 주가'!B82*'종목 기본정보'!B$2*'종목 기본정보'!B$3</f>
        <v>87217500000</v>
      </c>
      <c r="C82" s="8">
        <f ca="1">'일자별 주가'!C82*'종목 기본정보'!C$2*'종목 기본정보'!C$3</f>
        <v>107770500000</v>
      </c>
      <c r="D82" s="8">
        <f ca="1">'일자별 주가'!D82*'종목 기본정보'!D$2*'종목 기본정보'!D$3</f>
        <v>446932800000</v>
      </c>
      <c r="E82" s="8">
        <f ca="1">'일자별 주가'!E82*'종목 기본정보'!E$2*'종목 기본정보'!E$3</f>
        <v>88521840000</v>
      </c>
      <c r="F82" s="8">
        <f ca="1">'일자별 주가'!F82*'종목 기본정보'!F$2*'종목 기본정보'!F$3</f>
        <v>518288500000</v>
      </c>
      <c r="G82" s="9">
        <f t="shared" ca="1" si="2"/>
        <v>1248731140000</v>
      </c>
      <c r="H82" s="10">
        <f t="shared" ca="1" si="3"/>
        <v>100.29968995983936</v>
      </c>
    </row>
    <row r="83" spans="1:8" x14ac:dyDescent="0.3">
      <c r="A83" s="1">
        <v>82</v>
      </c>
      <c r="B83" s="8">
        <f ca="1">'일자별 주가'!B83*'종목 기본정보'!B$2*'종목 기본정보'!B$3</f>
        <v>87187500000</v>
      </c>
      <c r="C83" s="8">
        <f ca="1">'일자별 주가'!C83*'종목 기본정보'!C$2*'종목 기본정보'!C$3</f>
        <v>106524000000</v>
      </c>
      <c r="D83" s="8">
        <f ca="1">'일자별 주가'!D83*'종목 기본정보'!D$2*'종목 기본정보'!D$3</f>
        <v>451738000000</v>
      </c>
      <c r="E83" s="8">
        <f ca="1">'일자별 주가'!E83*'종목 기본정보'!E$2*'종목 기본정보'!E$3</f>
        <v>90964720000</v>
      </c>
      <c r="F83" s="8">
        <f ca="1">'일자별 주가'!F83*'종목 기본정보'!F$2*'종목 기본정보'!F$3</f>
        <v>506108500000</v>
      </c>
      <c r="G83" s="9">
        <f t="shared" ca="1" si="2"/>
        <v>1242522720000</v>
      </c>
      <c r="H83" s="10">
        <f t="shared" ca="1" si="3"/>
        <v>99.801021686746992</v>
      </c>
    </row>
    <row r="84" spans="1:8" x14ac:dyDescent="0.3">
      <c r="A84" s="1">
        <v>83</v>
      </c>
      <c r="B84" s="8">
        <f ca="1">'일자별 주가'!B84*'종목 기본정보'!B$2*'종목 기본정보'!B$3</f>
        <v>89175000000</v>
      </c>
      <c r="C84" s="8">
        <f ca="1">'일자별 주가'!C84*'종목 기본정보'!C$2*'종목 기본정보'!C$3</f>
        <v>104485500000</v>
      </c>
      <c r="D84" s="8">
        <f ca="1">'일자별 주가'!D84*'종목 기본정보'!D$2*'종목 기본정보'!D$3</f>
        <v>438913200000</v>
      </c>
      <c r="E84" s="8">
        <f ca="1">'일자별 주가'!E84*'종목 기본정보'!E$2*'종목 기본정보'!E$3</f>
        <v>92420240000</v>
      </c>
      <c r="F84" s="8">
        <f ca="1">'일자별 주가'!F84*'종목 기본정보'!F$2*'종목 기본정보'!F$3</f>
        <v>505118500000</v>
      </c>
      <c r="G84" s="9">
        <f t="shared" ca="1" si="2"/>
        <v>1230112440000</v>
      </c>
      <c r="H84" s="10">
        <f t="shared" ca="1" si="3"/>
        <v>98.804212048192781</v>
      </c>
    </row>
    <row r="85" spans="1:8" x14ac:dyDescent="0.3">
      <c r="A85" s="1">
        <v>84</v>
      </c>
      <c r="B85" s="8">
        <f ca="1">'일자별 주가'!B85*'종목 기본정보'!B$2*'종목 기본정보'!B$3</f>
        <v>88020000000</v>
      </c>
      <c r="C85" s="8">
        <f ca="1">'일자별 주가'!C85*'종목 기본정보'!C$2*'종목 기본정보'!C$3</f>
        <v>102690000000</v>
      </c>
      <c r="D85" s="8">
        <f ca="1">'일자별 주가'!D85*'종목 기본정보'!D$2*'종목 기본정보'!D$3</f>
        <v>431976000000</v>
      </c>
      <c r="E85" s="8">
        <f ca="1">'일자별 주가'!E85*'종목 기본정보'!E$2*'종목 기본정보'!E$3</f>
        <v>90940080000</v>
      </c>
      <c r="F85" s="8">
        <f ca="1">'일자별 주가'!F85*'종목 기본정보'!F$2*'종목 기본정보'!F$3</f>
        <v>521402000000</v>
      </c>
      <c r="G85" s="9">
        <f t="shared" ca="1" si="2"/>
        <v>1235028080000</v>
      </c>
      <c r="H85" s="10">
        <f t="shared" ca="1" si="3"/>
        <v>99.199042570281122</v>
      </c>
    </row>
    <row r="86" spans="1:8" x14ac:dyDescent="0.3">
      <c r="A86" s="1">
        <v>85</v>
      </c>
      <c r="B86" s="8">
        <f ca="1">'일자별 주가'!B86*'종목 기본정보'!B$2*'종목 기본정보'!B$3</f>
        <v>86715000000</v>
      </c>
      <c r="C86" s="8">
        <f ca="1">'일자별 주가'!C86*'종목 기본정보'!C$2*'종목 기본정보'!C$3</f>
        <v>105246000000</v>
      </c>
      <c r="D86" s="8">
        <f ca="1">'일자별 주가'!D86*'종목 기본정보'!D$2*'종목 기본정보'!D$3</f>
        <v>425908000000</v>
      </c>
      <c r="E86" s="8">
        <f ca="1">'일자별 주가'!E86*'종목 기본정보'!E$2*'종목 기본정보'!E$3</f>
        <v>89660560000</v>
      </c>
      <c r="F86" s="8">
        <f ca="1">'일자별 주가'!F86*'종목 기본정보'!F$2*'종목 기본정보'!F$3</f>
        <v>509958000000</v>
      </c>
      <c r="G86" s="9">
        <f t="shared" ca="1" si="2"/>
        <v>1217487560000</v>
      </c>
      <c r="H86" s="10">
        <f t="shared" ca="1" si="3"/>
        <v>97.790165461847394</v>
      </c>
    </row>
    <row r="87" spans="1:8" x14ac:dyDescent="0.3">
      <c r="A87" s="1">
        <v>86</v>
      </c>
      <c r="B87" s="8">
        <f ca="1">'일자별 주가'!B87*'종목 기본정보'!B$2*'종목 기본정보'!B$3</f>
        <v>87277500000</v>
      </c>
      <c r="C87" s="8">
        <f ca="1">'일자별 주가'!C87*'종목 기본정보'!C$2*'종목 기본정보'!C$3</f>
        <v>107635500000</v>
      </c>
      <c r="D87" s="8">
        <f ca="1">'일자별 주가'!D87*'종목 기본정보'!D$2*'종목 기본정보'!D$3</f>
        <v>433845600000</v>
      </c>
      <c r="E87" s="8">
        <f ca="1">'일자별 주가'!E87*'종목 기본정보'!E$2*'종목 기본정보'!E$3</f>
        <v>87028480000</v>
      </c>
      <c r="F87" s="8">
        <f ca="1">'일자별 주가'!F87*'종목 기본정보'!F$2*'종목 기본정보'!F$3</f>
        <v>507201000000</v>
      </c>
      <c r="G87" s="9">
        <f t="shared" ca="1" si="2"/>
        <v>1222988080000</v>
      </c>
      <c r="H87" s="10">
        <f t="shared" ca="1" si="3"/>
        <v>98.231974297188756</v>
      </c>
    </row>
    <row r="88" spans="1:8" x14ac:dyDescent="0.3">
      <c r="A88" s="1">
        <v>87</v>
      </c>
      <c r="B88" s="8">
        <f ca="1">'일자별 주가'!B88*'종목 기본정보'!B$2*'종목 기본정보'!B$3</f>
        <v>84787500000</v>
      </c>
      <c r="C88" s="8">
        <f ca="1">'일자별 주가'!C88*'종목 기본정보'!C$2*'종목 기본정보'!C$3</f>
        <v>110403000000</v>
      </c>
      <c r="D88" s="8">
        <f ca="1">'일자별 주가'!D88*'종목 기본정보'!D$2*'종목 기본정보'!D$3</f>
        <v>445932400000</v>
      </c>
      <c r="E88" s="8">
        <f ca="1">'일자별 주가'!E88*'종목 기본정보'!E$2*'종목 기본정보'!E$3</f>
        <v>86957200000</v>
      </c>
      <c r="F88" s="8">
        <f ca="1">'일자별 주가'!F88*'종목 기본정보'!F$2*'종목 기본정보'!F$3</f>
        <v>511550000000</v>
      </c>
      <c r="G88" s="9">
        <f t="shared" ca="1" si="2"/>
        <v>1239630100000</v>
      </c>
      <c r="H88" s="10">
        <f t="shared" ca="1" si="3"/>
        <v>99.568682730923697</v>
      </c>
    </row>
    <row r="89" spans="1:8" x14ac:dyDescent="0.3">
      <c r="A89" s="1">
        <v>88</v>
      </c>
      <c r="B89" s="8">
        <f ca="1">'일자별 주가'!B89*'종목 기본정보'!B$2*'종목 기본정보'!B$3</f>
        <v>83040000000</v>
      </c>
      <c r="C89" s="8">
        <f ca="1">'일자별 주가'!C89*'종목 기본정보'!C$2*'종목 기본정보'!C$3</f>
        <v>109026000000</v>
      </c>
      <c r="D89" s="8">
        <f ca="1">'일자별 주가'!D89*'종목 기본정보'!D$2*'종목 기본정보'!D$3</f>
        <v>459610000000</v>
      </c>
      <c r="E89" s="8">
        <f ca="1">'일자별 주가'!E89*'종목 기본정보'!E$2*'종목 기본정보'!E$3</f>
        <v>87139360000</v>
      </c>
      <c r="F89" s="8">
        <f ca="1">'일자별 주가'!F89*'종목 기본정보'!F$2*'종목 기본정보'!F$3</f>
        <v>527350000000</v>
      </c>
      <c r="G89" s="9">
        <f t="shared" ca="1" si="2"/>
        <v>1266165360000</v>
      </c>
      <c r="H89" s="10">
        <f t="shared" ca="1" si="3"/>
        <v>101.70002891566266</v>
      </c>
    </row>
    <row r="90" spans="1:8" x14ac:dyDescent="0.3">
      <c r="A90" s="1">
        <v>89</v>
      </c>
      <c r="B90" s="8">
        <f ca="1">'일자별 주가'!B90*'종목 기본정보'!B$2*'종목 기본정보'!B$3</f>
        <v>82545000000</v>
      </c>
      <c r="C90" s="8">
        <f ca="1">'일자별 주가'!C90*'종목 기본정보'!C$2*'종목 기본정보'!C$3</f>
        <v>111249000000</v>
      </c>
      <c r="D90" s="8">
        <f ca="1">'일자별 주가'!D90*'종목 기본정보'!D$2*'종목 기본정보'!D$3</f>
        <v>456297200000</v>
      </c>
      <c r="E90" s="8">
        <f ca="1">'일자별 주가'!E90*'종목 기본정보'!E$2*'종목 기본정보'!E$3</f>
        <v>88787600000</v>
      </c>
      <c r="F90" s="8">
        <f ca="1">'일자별 주가'!F90*'종목 기본정보'!F$2*'종목 기본정보'!F$3</f>
        <v>528492500000</v>
      </c>
      <c r="G90" s="9">
        <f t="shared" ca="1" si="2"/>
        <v>1267371300000</v>
      </c>
      <c r="H90" s="10">
        <f t="shared" ca="1" si="3"/>
        <v>101.79689156626506</v>
      </c>
    </row>
    <row r="91" spans="1:8" x14ac:dyDescent="0.3">
      <c r="A91" s="1">
        <v>90</v>
      </c>
      <c r="B91" s="8">
        <f ca="1">'일자별 주가'!B91*'종목 기본정보'!B$2*'종목 기본정보'!B$3</f>
        <v>80745000000</v>
      </c>
      <c r="C91" s="8">
        <f ca="1">'일자별 주가'!C91*'종목 기본정보'!C$2*'종목 기본정보'!C$3</f>
        <v>108693000000</v>
      </c>
      <c r="D91" s="8">
        <f ca="1">'일자별 주가'!D91*'종목 기본정보'!D$2*'종목 기본정보'!D$3</f>
        <v>448589200000</v>
      </c>
      <c r="E91" s="8">
        <f ca="1">'일자별 주가'!E91*'종목 기본정보'!E$2*'종목 기본정보'!E$3</f>
        <v>91167120000</v>
      </c>
      <c r="F91" s="8">
        <f ca="1">'일자별 주가'!F91*'종목 기본정보'!F$2*'종목 기본정보'!F$3</f>
        <v>542128500000</v>
      </c>
      <c r="G91" s="9">
        <f t="shared" ca="1" si="2"/>
        <v>1271322820000</v>
      </c>
      <c r="H91" s="10">
        <f t="shared" ca="1" si="3"/>
        <v>102.11428273092369</v>
      </c>
    </row>
    <row r="92" spans="1:8" x14ac:dyDescent="0.3">
      <c r="A92" s="1">
        <v>91</v>
      </c>
      <c r="B92" s="8">
        <f ca="1">'일자별 주가'!B92*'종목 기본정보'!B$2*'종목 기본정보'!B$3</f>
        <v>79387500000</v>
      </c>
      <c r="C92" s="8">
        <f ca="1">'일자별 주가'!C92*'종목 기본정보'!C$2*'종목 기본정보'!C$3</f>
        <v>107275500000</v>
      </c>
      <c r="D92" s="8">
        <f ca="1">'일자별 주가'!D92*'종목 기본정보'!D$2*'종목 기본정보'!D$3</f>
        <v>453820800000</v>
      </c>
      <c r="E92" s="8">
        <f ca="1">'일자별 주가'!E92*'종목 기본정보'!E$2*'종목 기본정보'!E$3</f>
        <v>90092640000</v>
      </c>
      <c r="F92" s="8">
        <f ca="1">'일자별 주가'!F92*'종목 기본정보'!F$2*'종목 기본정보'!F$3</f>
        <v>532591500000</v>
      </c>
      <c r="G92" s="9">
        <f t="shared" ca="1" si="2"/>
        <v>1263167940000</v>
      </c>
      <c r="H92" s="10">
        <f t="shared" ca="1" si="3"/>
        <v>101.45927228915663</v>
      </c>
    </row>
    <row r="93" spans="1:8" x14ac:dyDescent="0.3">
      <c r="A93" s="1">
        <v>92</v>
      </c>
      <c r="B93" s="8">
        <f ca="1">'일자별 주가'!B93*'종목 기본정보'!B$2*'종목 기본정보'!B$3</f>
        <v>80835000000</v>
      </c>
      <c r="C93" s="8">
        <f ca="1">'일자별 주가'!C93*'종목 기본정보'!C$2*'종목 기본정보'!C$3</f>
        <v>109386000000</v>
      </c>
      <c r="D93" s="8">
        <f ca="1">'일자별 주가'!D93*'종목 기본정보'!D$2*'종목 기본정보'!D$3</f>
        <v>440832000000</v>
      </c>
      <c r="E93" s="8">
        <f ca="1">'일자별 주가'!E93*'종목 기본정보'!E$2*'종목 기본정보'!E$3</f>
        <v>88282480000</v>
      </c>
      <c r="F93" s="8">
        <f ca="1">'일자별 주가'!F93*'종목 기본정보'!F$2*'종목 기본정보'!F$3</f>
        <v>522403000000</v>
      </c>
      <c r="G93" s="9">
        <f t="shared" ca="1" si="2"/>
        <v>1241738480000</v>
      </c>
      <c r="H93" s="10">
        <f t="shared" ca="1" si="3"/>
        <v>99.738030522088351</v>
      </c>
    </row>
    <row r="94" spans="1:8" x14ac:dyDescent="0.3">
      <c r="A94" s="1">
        <v>93</v>
      </c>
      <c r="B94" s="8">
        <f ca="1">'일자별 주가'!B94*'종목 기본정보'!B$2*'종목 기본정보'!B$3</f>
        <v>83145000000</v>
      </c>
      <c r="C94" s="8">
        <f ca="1">'일자별 주가'!C94*'종목 기본정보'!C$2*'종목 기본정보'!C$3</f>
        <v>109665000000</v>
      </c>
      <c r="D94" s="8">
        <f ca="1">'일자별 주가'!D94*'종목 기본정보'!D$2*'종목 기본정보'!D$3</f>
        <v>452115200000</v>
      </c>
      <c r="E94" s="8">
        <f ca="1">'일자별 주가'!E94*'종목 기본정보'!E$2*'종목 기본정보'!E$3</f>
        <v>88484880000</v>
      </c>
      <c r="F94" s="8">
        <f ca="1">'일자별 주가'!F94*'종목 기본정보'!F$2*'종목 기본정보'!F$3</f>
        <v>510681500000</v>
      </c>
      <c r="G94" s="9">
        <f t="shared" ca="1" si="2"/>
        <v>1244091580000</v>
      </c>
      <c r="H94" s="10">
        <f t="shared" ca="1" si="3"/>
        <v>99.927034538152611</v>
      </c>
    </row>
    <row r="95" spans="1:8" x14ac:dyDescent="0.3">
      <c r="A95" s="1">
        <v>94</v>
      </c>
      <c r="B95" s="8">
        <f ca="1">'일자별 주가'!B95*'종목 기본정보'!B$2*'종목 기본정보'!B$3</f>
        <v>82282500000</v>
      </c>
      <c r="C95" s="8">
        <f ca="1">'일자별 주가'!C95*'종목 기본정보'!C$2*'종목 기본정보'!C$3</f>
        <v>112810500000</v>
      </c>
      <c r="D95" s="8">
        <f ca="1">'일자별 주가'!D95*'종목 기본정보'!D$2*'종목 기본정보'!D$3</f>
        <v>456904000000</v>
      </c>
      <c r="E95" s="8">
        <f ca="1">'일자별 주가'!E95*'종목 기본정보'!E$2*'종목 기본정보'!E$3</f>
        <v>88150480000</v>
      </c>
      <c r="F95" s="8">
        <f ca="1">'일자별 주가'!F95*'종목 기본정보'!F$2*'종목 기본정보'!F$3</f>
        <v>523104000000</v>
      </c>
      <c r="G95" s="9">
        <f t="shared" ca="1" si="2"/>
        <v>1263251480000</v>
      </c>
      <c r="H95" s="10">
        <f t="shared" ca="1" si="3"/>
        <v>101.46598232931727</v>
      </c>
    </row>
    <row r="96" spans="1:8" x14ac:dyDescent="0.3">
      <c r="A96" s="1">
        <v>95</v>
      </c>
      <c r="B96" s="8">
        <f ca="1">'일자별 주가'!B96*'종목 기본정보'!B$2*'종목 기본정보'!B$3</f>
        <v>80527500000</v>
      </c>
      <c r="C96" s="8">
        <f ca="1">'일자별 주가'!C96*'종목 기본정보'!C$2*'종목 기본정보'!C$3</f>
        <v>112140000000</v>
      </c>
      <c r="D96" s="8">
        <f ca="1">'일자별 주가'!D96*'종목 기본정보'!D$2*'종목 기본정보'!D$3</f>
        <v>470237200000</v>
      </c>
      <c r="E96" s="8">
        <f ca="1">'일자별 주가'!E96*'종목 기본정보'!E$2*'종목 기본정보'!E$3</f>
        <v>89222320000</v>
      </c>
      <c r="F96" s="8">
        <f ca="1">'일자별 주가'!F96*'종목 기본정보'!F$2*'종목 기본정보'!F$3</f>
        <v>530377500000</v>
      </c>
      <c r="G96" s="9">
        <f t="shared" ca="1" si="2"/>
        <v>1282504520000</v>
      </c>
      <c r="H96" s="10">
        <f t="shared" ca="1" si="3"/>
        <v>103.01241124497993</v>
      </c>
    </row>
    <row r="97" spans="1:8" x14ac:dyDescent="0.3">
      <c r="A97" s="1">
        <v>96</v>
      </c>
      <c r="B97" s="8">
        <f ca="1">'일자별 주가'!B97*'종목 기본정보'!B$2*'종목 기본정보'!B$3</f>
        <v>81037500000</v>
      </c>
      <c r="C97" s="8">
        <f ca="1">'일자별 주가'!C97*'종목 기본정보'!C$2*'종목 기본정보'!C$3</f>
        <v>109660500000</v>
      </c>
      <c r="D97" s="8">
        <f ca="1">'일자별 주가'!D97*'종목 기본정보'!D$2*'종목 기본정보'!D$3</f>
        <v>459905200000</v>
      </c>
      <c r="E97" s="8">
        <f ca="1">'일자별 주가'!E97*'종목 기본정보'!E$2*'종목 기본정보'!E$3</f>
        <v>89863840000</v>
      </c>
      <c r="F97" s="8">
        <f ca="1">'일자별 주가'!F97*'종목 기본정보'!F$2*'종목 기본정보'!F$3</f>
        <v>526680500000</v>
      </c>
      <c r="G97" s="9">
        <f t="shared" ca="1" si="2"/>
        <v>1267147540000</v>
      </c>
      <c r="H97" s="10">
        <f t="shared" ca="1" si="3"/>
        <v>101.77891887550201</v>
      </c>
    </row>
    <row r="98" spans="1:8" x14ac:dyDescent="0.3">
      <c r="A98" s="1">
        <v>97</v>
      </c>
      <c r="B98" s="8">
        <f ca="1">'일자별 주가'!B98*'종목 기본정보'!B$2*'종목 기본정보'!B$3</f>
        <v>82200000000</v>
      </c>
      <c r="C98" s="8">
        <f ca="1">'일자별 주가'!C98*'종목 기본정보'!C$2*'종목 기본정보'!C$3</f>
        <v>112653000000</v>
      </c>
      <c r="D98" s="8">
        <f ca="1">'일자별 주가'!D98*'종목 기본정보'!D$2*'종목 기본정보'!D$3</f>
        <v>452197200000</v>
      </c>
      <c r="E98" s="8">
        <f ca="1">'일자별 주가'!E98*'종목 기본정보'!E$2*'종목 기본정보'!E$3</f>
        <v>89041920000</v>
      </c>
      <c r="F98" s="8">
        <f ca="1">'일자별 주가'!F98*'종목 기본정보'!F$2*'종목 기본정보'!F$3</f>
        <v>535018000000</v>
      </c>
      <c r="G98" s="9">
        <f t="shared" ca="1" si="2"/>
        <v>1271110120000</v>
      </c>
      <c r="H98" s="10">
        <f t="shared" ca="1" si="3"/>
        <v>102.0971983935743</v>
      </c>
    </row>
    <row r="99" spans="1:8" x14ac:dyDescent="0.3">
      <c r="A99" s="1">
        <v>98</v>
      </c>
      <c r="B99" s="8">
        <f ca="1">'일자별 주가'!B99*'종목 기본정보'!B$2*'종목 기본정보'!B$3</f>
        <v>84802500000</v>
      </c>
      <c r="C99" s="8">
        <f ca="1">'일자별 주가'!C99*'종목 기본정보'!C$2*'종목 기본정보'!C$3</f>
        <v>114529500000</v>
      </c>
      <c r="D99" s="8">
        <f ca="1">'일자별 주가'!D99*'종목 기본정보'!D$2*'종목 기본정보'!D$3</f>
        <v>446686800000</v>
      </c>
      <c r="E99" s="8">
        <f ca="1">'일자별 주가'!E99*'종목 기본정보'!E$2*'종목 기본정보'!E$3</f>
        <v>88374880000</v>
      </c>
      <c r="F99" s="8">
        <f ca="1">'일자별 주가'!F99*'종목 기본정보'!F$2*'종목 기본정보'!F$3</f>
        <v>535679000000</v>
      </c>
      <c r="G99" s="9">
        <f t="shared" ca="1" si="2"/>
        <v>1270072680000</v>
      </c>
      <c r="H99" s="10">
        <f t="shared" ca="1" si="3"/>
        <v>102.01386987951808</v>
      </c>
    </row>
    <row r="100" spans="1:8" x14ac:dyDescent="0.3">
      <c r="A100" s="1">
        <v>99</v>
      </c>
      <c r="B100" s="8">
        <f ca="1">'일자별 주가'!B100*'종목 기본정보'!B$2*'종목 기본정보'!B$3</f>
        <v>84435000000</v>
      </c>
      <c r="C100" s="8">
        <f ca="1">'일자별 주가'!C100*'종목 기본정보'!C$2*'종목 기본정보'!C$3</f>
        <v>115263000000</v>
      </c>
      <c r="D100" s="8">
        <f ca="1">'일자별 주가'!D100*'종목 기본정보'!D$2*'종목 기본정보'!D$3</f>
        <v>440340000000</v>
      </c>
      <c r="E100" s="8">
        <f ca="1">'일자별 주가'!E100*'종목 기본정보'!E$2*'종목 기본정보'!E$3</f>
        <v>86284000000</v>
      </c>
      <c r="F100" s="8">
        <f ca="1">'일자별 주가'!F100*'종목 기본정보'!F$2*'종목 기본정보'!F$3</f>
        <v>546743000000</v>
      </c>
      <c r="G100" s="9">
        <f t="shared" ca="1" si="2"/>
        <v>1273065000000</v>
      </c>
      <c r="H100" s="10">
        <f t="shared" ca="1" si="3"/>
        <v>102.25421686746986</v>
      </c>
    </row>
    <row r="101" spans="1:8" x14ac:dyDescent="0.3">
      <c r="A101" s="1">
        <v>100</v>
      </c>
      <c r="B101" s="8">
        <f ca="1">'일자별 주가'!B101*'종목 기본정보'!B$2*'종목 기본정보'!B$3</f>
        <v>87082500000</v>
      </c>
      <c r="C101" s="8">
        <f ca="1">'일자별 주가'!C101*'종목 기본정보'!C$2*'종목 기본정보'!C$3</f>
        <v>116869500000</v>
      </c>
      <c r="D101" s="8">
        <f ca="1">'일자별 주가'!D101*'종목 기본정보'!D$2*'종목 기본정보'!D$3</f>
        <v>430598400000</v>
      </c>
      <c r="E101" s="8">
        <f ca="1">'일자별 주가'!E101*'종목 기본정보'!E$2*'종목 기본정보'!E$3</f>
        <v>84951680000</v>
      </c>
      <c r="F101" s="8">
        <f ca="1">'일자별 주가'!F101*'종목 기본정보'!F$2*'종목 기본정보'!F$3</f>
        <v>556632000000</v>
      </c>
      <c r="G101" s="9">
        <f t="shared" ca="1" si="2"/>
        <v>1276134080000</v>
      </c>
      <c r="H101" s="10">
        <f t="shared" ca="1" si="3"/>
        <v>102.50072931726908</v>
      </c>
    </row>
    <row r="102" spans="1:8" x14ac:dyDescent="0.3">
      <c r="A102" s="1">
        <v>101</v>
      </c>
      <c r="B102" s="8">
        <f ca="1">'일자별 주가'!B102*'종목 기본정보'!B$2*'종목 기본정보'!B$3</f>
        <v>85612500000</v>
      </c>
      <c r="C102" s="8">
        <f ca="1">'일자별 주가'!C102*'종목 기본정보'!C$2*'종목 기본정보'!C$3</f>
        <v>115348500000</v>
      </c>
      <c r="D102" s="8">
        <f ca="1">'일자별 주가'!D102*'종목 기본정보'!D$2*'종목 기본정보'!D$3</f>
        <v>425104400000</v>
      </c>
      <c r="E102" s="8">
        <f ca="1">'일자별 주가'!E102*'종목 기본정보'!E$2*'종목 기본정보'!E$3</f>
        <v>83497920000</v>
      </c>
      <c r="F102" s="8">
        <f ca="1">'일자별 주가'!F102*'종목 기본정보'!F$2*'종목 기본정보'!F$3</f>
        <v>560995500000</v>
      </c>
      <c r="G102" s="9">
        <f t="shared" ca="1" si="2"/>
        <v>1270558820000</v>
      </c>
      <c r="H102" s="10">
        <f t="shared" ca="1" si="3"/>
        <v>102.0529172690763</v>
      </c>
    </row>
    <row r="103" spans="1:8" x14ac:dyDescent="0.3">
      <c r="A103" s="1">
        <v>102</v>
      </c>
      <c r="B103" s="8">
        <f ca="1">'일자별 주가'!B103*'종목 기본정보'!B$2*'종목 기본정보'!B$3</f>
        <v>83085000000</v>
      </c>
      <c r="C103" s="8">
        <f ca="1">'일자별 주가'!C103*'종목 기본정보'!C$2*'종목 기본정보'!C$3</f>
        <v>115578000000</v>
      </c>
      <c r="D103" s="8">
        <f ca="1">'일자별 주가'!D103*'종목 기본정보'!D$2*'종목 기본정보'!D$3</f>
        <v>420643600000</v>
      </c>
      <c r="E103" s="8">
        <f ca="1">'일자별 주가'!E103*'종목 기본정보'!E$2*'종목 기본정보'!E$3</f>
        <v>85829040000</v>
      </c>
      <c r="F103" s="8">
        <f ca="1">'일자별 주가'!F103*'종목 기본정보'!F$2*'종목 기본정보'!F$3</f>
        <v>578828500000</v>
      </c>
      <c r="G103" s="9">
        <f t="shared" ca="1" si="2"/>
        <v>1283964140000</v>
      </c>
      <c r="H103" s="10">
        <f t="shared" ca="1" si="3"/>
        <v>103.12964979919678</v>
      </c>
    </row>
    <row r="104" spans="1:8" x14ac:dyDescent="0.3">
      <c r="A104" s="1">
        <v>103</v>
      </c>
      <c r="B104" s="8">
        <f ca="1">'일자별 주가'!B104*'종목 기본정보'!B$2*'종목 기본정보'!B$3</f>
        <v>82537500000</v>
      </c>
      <c r="C104" s="8">
        <f ca="1">'일자별 주가'!C104*'종목 기본정보'!C$2*'종목 기본정보'!C$3</f>
        <v>113868000000</v>
      </c>
      <c r="D104" s="8">
        <f ca="1">'일자별 주가'!D104*'종목 기본정보'!D$2*'종목 기본정보'!D$3</f>
        <v>425088000000</v>
      </c>
      <c r="E104" s="8">
        <f ca="1">'일자별 주가'!E104*'종목 기본정보'!E$2*'종목 기본정보'!E$3</f>
        <v>87493120000</v>
      </c>
      <c r="F104" s="8">
        <f ca="1">'일자별 주가'!F104*'종목 기본정보'!F$2*'종목 기본정보'!F$3</f>
        <v>584202000000</v>
      </c>
      <c r="G104" s="9">
        <f t="shared" ca="1" si="2"/>
        <v>1293188620000</v>
      </c>
      <c r="H104" s="10">
        <f t="shared" ca="1" si="3"/>
        <v>103.8705718875502</v>
      </c>
    </row>
    <row r="105" spans="1:8" x14ac:dyDescent="0.3">
      <c r="A105" s="1">
        <v>104</v>
      </c>
      <c r="B105" s="8">
        <f ca="1">'일자별 주가'!B105*'종목 기본정보'!B$2*'종목 기본정보'!B$3</f>
        <v>83040000000</v>
      </c>
      <c r="C105" s="8">
        <f ca="1">'일자별 주가'!C105*'종목 기본정보'!C$2*'종목 기본정보'!C$3</f>
        <v>112104000000</v>
      </c>
      <c r="D105" s="8">
        <f ca="1">'일자별 주가'!D105*'종목 기본정보'!D$2*'종목 기본정보'!D$3</f>
        <v>424743600000</v>
      </c>
      <c r="E105" s="8">
        <f ca="1">'일자별 주가'!E105*'종목 기본정보'!E$2*'종목 기본정보'!E$3</f>
        <v>86118560000</v>
      </c>
      <c r="F105" s="8">
        <f ca="1">'일자별 주가'!F105*'종목 기본정보'!F$2*'종목 기본정보'!F$3</f>
        <v>577178000000</v>
      </c>
      <c r="G105" s="9">
        <f t="shared" ca="1" si="2"/>
        <v>1283184160000</v>
      </c>
      <c r="H105" s="10">
        <f t="shared" ca="1" si="3"/>
        <v>103.06700080321285</v>
      </c>
    </row>
    <row r="106" spans="1:8" x14ac:dyDescent="0.3">
      <c r="A106" s="1">
        <v>105</v>
      </c>
      <c r="B106" s="8">
        <f ca="1">'일자별 주가'!B106*'종목 기본정보'!B$2*'종목 기본정보'!B$3</f>
        <v>81855000000</v>
      </c>
      <c r="C106" s="8">
        <f ca="1">'일자별 주가'!C106*'종목 기본정보'!C$2*'종목 기본정보'!C$3</f>
        <v>114309000000</v>
      </c>
      <c r="D106" s="8">
        <f ca="1">'일자별 주가'!D106*'종목 기본정보'!D$2*'종목 기본정보'!D$3</f>
        <v>421201200000</v>
      </c>
      <c r="E106" s="8">
        <f ca="1">'일자별 주가'!E106*'종목 기본정보'!E$2*'종목 기본정보'!E$3</f>
        <v>86177520000</v>
      </c>
      <c r="F106" s="8">
        <f ca="1">'일자별 주가'!F106*'종목 기본정보'!F$2*'종목 기본정보'!F$3</f>
        <v>561818500000</v>
      </c>
      <c r="G106" s="9">
        <f t="shared" ca="1" si="2"/>
        <v>1265361220000</v>
      </c>
      <c r="H106" s="10">
        <f t="shared" ca="1" si="3"/>
        <v>101.63543935742972</v>
      </c>
    </row>
    <row r="107" spans="1:8" x14ac:dyDescent="0.3">
      <c r="A107" s="1">
        <v>106</v>
      </c>
      <c r="B107" s="8">
        <f ca="1">'일자별 주가'!B107*'종목 기본정보'!B$2*'종목 기본정보'!B$3</f>
        <v>83842500000</v>
      </c>
      <c r="C107" s="8">
        <f ca="1">'일자별 주가'!C107*'종목 기본정보'!C$2*'종목 기본정보'!C$3</f>
        <v>110934000000</v>
      </c>
      <c r="D107" s="8">
        <f ca="1">'일자별 주가'!D107*'종목 기본정보'!D$2*'종목 기본정보'!D$3</f>
        <v>433189600000</v>
      </c>
      <c r="E107" s="8">
        <f ca="1">'일자별 주가'!E107*'종목 기본정보'!E$2*'종목 기본정보'!E$3</f>
        <v>84716720000</v>
      </c>
      <c r="F107" s="8">
        <f ca="1">'일자별 주가'!F107*'종목 기본정보'!F$2*'종목 기본정보'!F$3</f>
        <v>579188500000</v>
      </c>
      <c r="G107" s="9">
        <f t="shared" ca="1" si="2"/>
        <v>1291871320000</v>
      </c>
      <c r="H107" s="10">
        <f t="shared" ca="1" si="3"/>
        <v>103.76476465863453</v>
      </c>
    </row>
    <row r="108" spans="1:8" x14ac:dyDescent="0.3">
      <c r="A108" s="1">
        <v>107</v>
      </c>
      <c r="B108" s="8">
        <f ca="1">'일자별 주가'!B108*'종목 기본정보'!B$2*'종목 기본정보'!B$3</f>
        <v>86325000000</v>
      </c>
      <c r="C108" s="8">
        <f ca="1">'일자별 주가'!C108*'종목 기본정보'!C$2*'종목 기본정보'!C$3</f>
        <v>114561000000</v>
      </c>
      <c r="D108" s="8">
        <f ca="1">'일자별 주가'!D108*'종목 기본정보'!D$2*'종목 기본정보'!D$3</f>
        <v>430385200000</v>
      </c>
      <c r="E108" s="8">
        <f ca="1">'일자별 주가'!E108*'종목 기본정보'!E$2*'종목 기본정보'!E$3</f>
        <v>87255520000</v>
      </c>
      <c r="F108" s="8">
        <f ca="1">'일자별 주가'!F108*'종목 기본정보'!F$2*'종목 기본정보'!F$3</f>
        <v>573500000000</v>
      </c>
      <c r="G108" s="9">
        <f t="shared" ca="1" si="2"/>
        <v>1292026720000</v>
      </c>
      <c r="H108" s="10">
        <f t="shared" ca="1" si="3"/>
        <v>103.77724658634537</v>
      </c>
    </row>
    <row r="109" spans="1:8" x14ac:dyDescent="0.3">
      <c r="A109" s="1">
        <v>108</v>
      </c>
      <c r="B109" s="8">
        <f ca="1">'일자별 주가'!B109*'종목 기본정보'!B$2*'종목 기본정보'!B$3</f>
        <v>88357500000</v>
      </c>
      <c r="C109" s="8">
        <f ca="1">'일자별 주가'!C109*'종목 기본정보'!C$2*'종목 기본정보'!C$3</f>
        <v>118210500000</v>
      </c>
      <c r="D109" s="8">
        <f ca="1">'일자별 주가'!D109*'종목 기본정보'!D$2*'종목 기본정보'!D$3</f>
        <v>429975200000</v>
      </c>
      <c r="E109" s="8">
        <f ca="1">'일자별 주가'!E109*'종목 기본정보'!E$2*'종목 기본정보'!E$3</f>
        <v>85292240000</v>
      </c>
      <c r="F109" s="8">
        <f ca="1">'일자별 주가'!F109*'종목 기본정보'!F$2*'종목 기본정보'!F$3</f>
        <v>566293000000</v>
      </c>
      <c r="G109" s="9">
        <f t="shared" ca="1" si="2"/>
        <v>1288128440000</v>
      </c>
      <c r="H109" s="10">
        <f t="shared" ca="1" si="3"/>
        <v>103.46413172690762</v>
      </c>
    </row>
    <row r="110" spans="1:8" x14ac:dyDescent="0.3">
      <c r="A110" s="1">
        <v>109</v>
      </c>
      <c r="B110" s="8">
        <f ca="1">'일자별 주가'!B110*'종목 기본정보'!B$2*'종목 기본정보'!B$3</f>
        <v>88845000000</v>
      </c>
      <c r="C110" s="8">
        <f ca="1">'일자별 주가'!C110*'종목 기본정보'!C$2*'종목 기본정보'!C$3</f>
        <v>118773000000</v>
      </c>
      <c r="D110" s="8">
        <f ca="1">'일자별 주가'!D110*'종목 기본정보'!D$2*'종목 기본정보'!D$3</f>
        <v>421693200000</v>
      </c>
      <c r="E110" s="8">
        <f ca="1">'일자별 주가'!E110*'종목 기본정보'!E$2*'종목 기본정보'!E$3</f>
        <v>85045840000</v>
      </c>
      <c r="F110" s="8">
        <f ca="1">'일자별 주가'!F110*'종목 기본정보'!F$2*'종목 기본정보'!F$3</f>
        <v>571977000000</v>
      </c>
      <c r="G110" s="9">
        <f t="shared" ca="1" si="2"/>
        <v>1286334040000</v>
      </c>
      <c r="H110" s="10">
        <f t="shared" ca="1" si="3"/>
        <v>103.32000321285139</v>
      </c>
    </row>
    <row r="111" spans="1:8" x14ac:dyDescent="0.3">
      <c r="A111" s="1">
        <v>110</v>
      </c>
      <c r="B111" s="8">
        <f ca="1">'일자별 주가'!B111*'종목 기본정보'!B$2*'종목 기본정보'!B$3</f>
        <v>91455000000</v>
      </c>
      <c r="C111" s="8">
        <f ca="1">'일자별 주가'!C111*'종목 기본정보'!C$2*'종목 기본정보'!C$3</f>
        <v>122062500000</v>
      </c>
      <c r="D111" s="8">
        <f ca="1">'일자별 주가'!D111*'종목 기본정보'!D$2*'종목 기본정보'!D$3</f>
        <v>410672400000</v>
      </c>
      <c r="E111" s="8">
        <f ca="1">'일자별 주가'!E111*'종목 기본정보'!E$2*'종목 기본정보'!E$3</f>
        <v>87817840000</v>
      </c>
      <c r="F111" s="8">
        <f ca="1">'일자별 주가'!F111*'종목 기본정보'!F$2*'종목 기본정보'!F$3</f>
        <v>569171000000</v>
      </c>
      <c r="G111" s="9">
        <f t="shared" ca="1" si="2"/>
        <v>1281178740000</v>
      </c>
      <c r="H111" s="10">
        <f t="shared" ca="1" si="3"/>
        <v>102.90592289156626</v>
      </c>
    </row>
    <row r="112" spans="1:8" x14ac:dyDescent="0.3">
      <c r="A112" s="1">
        <v>111</v>
      </c>
      <c r="B112" s="8">
        <f ca="1">'일자별 주가'!B112*'종목 기본정보'!B$2*'종목 기본정보'!B$3</f>
        <v>93967500000</v>
      </c>
      <c r="C112" s="8">
        <f ca="1">'일자별 주가'!C112*'종목 기본정보'!C$2*'종목 기본정보'!C$3</f>
        <v>122958000000</v>
      </c>
      <c r="D112" s="8">
        <f ca="1">'일자별 주가'!D112*'종목 기본정보'!D$2*'종목 기본정보'!D$3</f>
        <v>399356400000</v>
      </c>
      <c r="E112" s="8">
        <f ca="1">'일자별 주가'!E112*'종목 기본정보'!E$2*'종목 기본정보'!E$3</f>
        <v>90067120000</v>
      </c>
      <c r="F112" s="8">
        <f ca="1">'일자별 주가'!F112*'종목 기본정보'!F$2*'종목 기본정보'!F$3</f>
        <v>577551500000</v>
      </c>
      <c r="G112" s="9">
        <f t="shared" ca="1" si="2"/>
        <v>1283900520000</v>
      </c>
      <c r="H112" s="10">
        <f t="shared" ca="1" si="3"/>
        <v>103.12453975903615</v>
      </c>
    </row>
    <row r="113" spans="1:8" x14ac:dyDescent="0.3">
      <c r="A113" s="1">
        <v>112</v>
      </c>
      <c r="B113" s="8">
        <f ca="1">'일자별 주가'!B113*'종목 기본정보'!B$2*'종목 기본정보'!B$3</f>
        <v>93592500000</v>
      </c>
      <c r="C113" s="8">
        <f ca="1">'일자별 주가'!C113*'종목 기본정보'!C$2*'종목 기본정보'!C$3</f>
        <v>125001000000</v>
      </c>
      <c r="D113" s="8">
        <f ca="1">'일자별 주가'!D113*'종목 기본정보'!D$2*'종목 기본정보'!D$3</f>
        <v>395076000000</v>
      </c>
      <c r="E113" s="8">
        <f ca="1">'일자별 주가'!E113*'종목 기본정보'!E$2*'종목 기본정보'!E$3</f>
        <v>87800240000</v>
      </c>
      <c r="F113" s="8">
        <f ca="1">'일자별 주가'!F113*'종목 기본정보'!F$2*'종목 기본정보'!F$3</f>
        <v>572875500000</v>
      </c>
      <c r="G113" s="9">
        <f t="shared" ca="1" si="2"/>
        <v>1274345240000</v>
      </c>
      <c r="H113" s="10">
        <f t="shared" ca="1" si="3"/>
        <v>102.35704738955825</v>
      </c>
    </row>
    <row r="114" spans="1:8" x14ac:dyDescent="0.3">
      <c r="A114" s="1">
        <v>113</v>
      </c>
      <c r="B114" s="8">
        <f ca="1">'일자별 주가'!B114*'종목 기본정보'!B$2*'종목 기본정보'!B$3</f>
        <v>93457500000</v>
      </c>
      <c r="C114" s="8">
        <f ca="1">'일자별 주가'!C114*'종목 기본정보'!C$2*'종목 기본정보'!C$3</f>
        <v>126234000000</v>
      </c>
      <c r="D114" s="8">
        <f ca="1">'일자별 주가'!D114*'종목 기본정보'!D$2*'종목 기본정보'!D$3</f>
        <v>401176800000</v>
      </c>
      <c r="E114" s="8">
        <f ca="1">'일자별 주가'!E114*'종목 기본정보'!E$2*'종목 기본정보'!E$3</f>
        <v>86281360000</v>
      </c>
      <c r="F114" s="8">
        <f ca="1">'일자별 주가'!F114*'종목 기본정보'!F$2*'종목 기본정보'!F$3</f>
        <v>560543000000</v>
      </c>
      <c r="G114" s="9">
        <f t="shared" ca="1" si="2"/>
        <v>1267692660000</v>
      </c>
      <c r="H114" s="10">
        <f t="shared" ca="1" si="3"/>
        <v>101.82270361445782</v>
      </c>
    </row>
    <row r="115" spans="1:8" x14ac:dyDescent="0.3">
      <c r="A115" s="1">
        <v>114</v>
      </c>
      <c r="B115" s="8">
        <f ca="1">'일자별 주가'!B115*'종목 기본정보'!B$2*'종목 기본정보'!B$3</f>
        <v>94297500000</v>
      </c>
      <c r="C115" s="8">
        <f ca="1">'일자별 주가'!C115*'종목 기본정보'!C$2*'종목 기본정보'!C$3</f>
        <v>125334000000</v>
      </c>
      <c r="D115" s="8">
        <f ca="1">'일자별 주가'!D115*'종목 기본정보'!D$2*'종목 기본정보'!D$3</f>
        <v>410278800000</v>
      </c>
      <c r="E115" s="8">
        <f ca="1">'일자별 주가'!E115*'종목 기본정보'!E$2*'종목 기본정보'!E$3</f>
        <v>87948080000</v>
      </c>
      <c r="F115" s="8">
        <f ca="1">'일자별 주가'!F115*'종목 기본정보'!F$2*'종목 기본정보'!F$3</f>
        <v>548095000000</v>
      </c>
      <c r="G115" s="9">
        <f t="shared" ca="1" si="2"/>
        <v>1265953380000</v>
      </c>
      <c r="H115" s="10">
        <f t="shared" ca="1" si="3"/>
        <v>101.68300240963855</v>
      </c>
    </row>
    <row r="116" spans="1:8" x14ac:dyDescent="0.3">
      <c r="A116" s="1">
        <v>115</v>
      </c>
      <c r="B116" s="8">
        <f ca="1">'일자별 주가'!B116*'종목 기본정보'!B$2*'종목 기본정보'!B$3</f>
        <v>96120000000</v>
      </c>
      <c r="C116" s="8">
        <f ca="1">'일자별 주가'!C116*'종목 기본정보'!C$2*'종목 기본정보'!C$3</f>
        <v>125176500000</v>
      </c>
      <c r="D116" s="8">
        <f ca="1">'일자별 주가'!D116*'종목 기본정보'!D$2*'종목 기본정보'!D$3</f>
        <v>400504400000</v>
      </c>
      <c r="E116" s="8">
        <f ca="1">'일자별 주가'!E116*'종목 기본정보'!E$2*'종목 기본정보'!E$3</f>
        <v>87141120000</v>
      </c>
      <c r="F116" s="8">
        <f ca="1">'일자별 주가'!F116*'종목 기본정보'!F$2*'종목 기본정보'!F$3</f>
        <v>562525000000</v>
      </c>
      <c r="G116" s="9">
        <f t="shared" ca="1" si="2"/>
        <v>1271467020000</v>
      </c>
      <c r="H116" s="10">
        <f t="shared" ca="1" si="3"/>
        <v>102.12586506024097</v>
      </c>
    </row>
    <row r="117" spans="1:8" x14ac:dyDescent="0.3">
      <c r="A117" s="1">
        <v>116</v>
      </c>
      <c r="B117" s="8">
        <f ca="1">'일자별 주가'!B117*'종목 기본정보'!B$2*'종목 기본정보'!B$3</f>
        <v>96750000000</v>
      </c>
      <c r="C117" s="8">
        <f ca="1">'일자별 주가'!C117*'종목 기본정보'!C$2*'종목 기본정보'!C$3</f>
        <v>128808000000</v>
      </c>
      <c r="D117" s="8">
        <f ca="1">'일자별 주가'!D117*'종목 기본정보'!D$2*'종목 기본정보'!D$3</f>
        <v>402456000000</v>
      </c>
      <c r="E117" s="8">
        <f ca="1">'일자별 주가'!E117*'종목 기본정보'!E$2*'종목 기본정보'!E$3</f>
        <v>89623600000</v>
      </c>
      <c r="F117" s="8">
        <f ca="1">'일자별 주가'!F117*'종목 기본정보'!F$2*'종목 기본정보'!F$3</f>
        <v>580317000000</v>
      </c>
      <c r="G117" s="9">
        <f t="shared" ca="1" si="2"/>
        <v>1297954600000</v>
      </c>
      <c r="H117" s="10">
        <f t="shared" ca="1" si="3"/>
        <v>104.25338152610442</v>
      </c>
    </row>
    <row r="118" spans="1:8" x14ac:dyDescent="0.3">
      <c r="A118" s="1">
        <v>117</v>
      </c>
      <c r="B118" s="8">
        <f ca="1">'일자별 주가'!B118*'종목 기본정보'!B$2*'종목 기본정보'!B$3</f>
        <v>97027500000</v>
      </c>
      <c r="C118" s="8">
        <f ca="1">'일자별 주가'!C118*'종목 기본정보'!C$2*'종목 기본정보'!C$3</f>
        <v>132466500000</v>
      </c>
      <c r="D118" s="8">
        <f ca="1">'일자별 주가'!D118*'종목 기본정보'!D$2*'종목 기본정보'!D$3</f>
        <v>407441600000</v>
      </c>
      <c r="E118" s="8">
        <f ca="1">'일자별 주가'!E118*'종목 기본정보'!E$2*'종목 기본정보'!E$3</f>
        <v>89870000000</v>
      </c>
      <c r="F118" s="8">
        <f ca="1">'일자별 주가'!F118*'종목 기본정보'!F$2*'종목 기본정보'!F$3</f>
        <v>565261500000</v>
      </c>
      <c r="G118" s="9">
        <f t="shared" ca="1" si="2"/>
        <v>1292067100000</v>
      </c>
      <c r="H118" s="10">
        <f t="shared" ca="1" si="3"/>
        <v>103.78048995983934</v>
      </c>
    </row>
    <row r="119" spans="1:8" x14ac:dyDescent="0.3">
      <c r="A119" s="1">
        <v>118</v>
      </c>
      <c r="B119" s="8">
        <f ca="1">'일자별 주가'!B119*'종목 기본정보'!B$2*'종목 기본정보'!B$3</f>
        <v>99127500000</v>
      </c>
      <c r="C119" s="8">
        <f ca="1">'일자별 주가'!C119*'종목 기본정보'!C$2*'종목 기본정보'!C$3</f>
        <v>128713500000</v>
      </c>
      <c r="D119" s="8">
        <f ca="1">'일자별 주가'!D119*'종목 기본정보'!D$2*'종목 기본정보'!D$3</f>
        <v>416806000000</v>
      </c>
      <c r="E119" s="8">
        <f ca="1">'일자별 주가'!E119*'종목 기본정보'!E$2*'종목 기본정보'!E$3</f>
        <v>92434320000</v>
      </c>
      <c r="F119" s="8">
        <f ca="1">'일자별 주가'!F119*'종목 기본정보'!F$2*'종목 기본정보'!F$3</f>
        <v>573786500000</v>
      </c>
      <c r="G119" s="9">
        <f t="shared" ca="1" si="2"/>
        <v>1310867820000</v>
      </c>
      <c r="H119" s="10">
        <f t="shared" ca="1" si="3"/>
        <v>105.29058795180724</v>
      </c>
    </row>
    <row r="120" spans="1:8" x14ac:dyDescent="0.3">
      <c r="A120" s="1">
        <v>119</v>
      </c>
      <c r="B120" s="8">
        <f ca="1">'일자별 주가'!B120*'종목 기본정보'!B$2*'종목 기본정보'!B$3</f>
        <v>97425000000</v>
      </c>
      <c r="C120" s="8">
        <f ca="1">'일자별 주가'!C120*'종목 기본정보'!C$2*'종목 기본정보'!C$3</f>
        <v>132727500000</v>
      </c>
      <c r="D120" s="8">
        <f ca="1">'일자별 주가'!D120*'종목 기본정보'!D$2*'종목 기본정보'!D$3</f>
        <v>411935200000</v>
      </c>
      <c r="E120" s="8">
        <f ca="1">'일자별 주가'!E120*'종목 기본정보'!E$2*'종목 기본정보'!E$3</f>
        <v>89928080000</v>
      </c>
      <c r="F120" s="8">
        <f ca="1">'일자별 주가'!F120*'종목 기본정보'!F$2*'종목 기본정보'!F$3</f>
        <v>585557000000</v>
      </c>
      <c r="G120" s="9">
        <f t="shared" ca="1" si="2"/>
        <v>1317572780000</v>
      </c>
      <c r="H120" s="10">
        <f t="shared" ca="1" si="3"/>
        <v>105.82913895582328</v>
      </c>
    </row>
    <row r="121" spans="1:8" x14ac:dyDescent="0.3">
      <c r="A121" s="1">
        <v>120</v>
      </c>
      <c r="B121" s="8">
        <f ca="1">'일자별 주가'!B121*'종목 기본정보'!B$2*'종목 기본정보'!B$3</f>
        <v>100372500000</v>
      </c>
      <c r="C121" s="8">
        <f ca="1">'일자별 주가'!C121*'종목 기본정보'!C$2*'종목 기본정보'!C$3</f>
        <v>134865000000</v>
      </c>
      <c r="D121" s="8">
        <f ca="1">'일자별 주가'!D121*'종목 기본정보'!D$2*'종목 기본정보'!D$3</f>
        <v>408737200000</v>
      </c>
      <c r="E121" s="8">
        <f ca="1">'일자별 주가'!E121*'종목 기본정보'!E$2*'종목 기본정보'!E$3</f>
        <v>90642640000</v>
      </c>
      <c r="F121" s="8">
        <f ca="1">'일자별 주가'!F121*'종목 기본정보'!F$2*'종목 기본정보'!F$3</f>
        <v>599303000000</v>
      </c>
      <c r="G121" s="9">
        <f t="shared" ca="1" si="2"/>
        <v>1333920340000</v>
      </c>
      <c r="H121" s="10">
        <f t="shared" ca="1" si="3"/>
        <v>107.14219598393575</v>
      </c>
    </row>
    <row r="122" spans="1:8" x14ac:dyDescent="0.3">
      <c r="A122" s="1">
        <v>121</v>
      </c>
      <c r="B122" s="8">
        <f ca="1">'일자별 주가'!B122*'종목 기본정보'!B$2*'종목 기본정보'!B$3</f>
        <v>99232500000</v>
      </c>
      <c r="C122" s="8">
        <f ca="1">'일자별 주가'!C122*'종목 기본정보'!C$2*'종목 기본정보'!C$3</f>
        <v>138550500000</v>
      </c>
      <c r="D122" s="8">
        <f ca="1">'일자별 주가'!D122*'종목 기본정보'!D$2*'종목 기본정보'!D$3</f>
        <v>407950000000</v>
      </c>
      <c r="E122" s="8">
        <f ca="1">'일자별 주가'!E122*'종목 기본정보'!E$2*'종목 기본정보'!E$3</f>
        <v>89613920000</v>
      </c>
      <c r="F122" s="8">
        <f ca="1">'일자별 주가'!F122*'종목 기본정보'!F$2*'종목 기본정보'!F$3</f>
        <v>597863000000</v>
      </c>
      <c r="G122" s="9">
        <f t="shared" ca="1" si="2"/>
        <v>1333209920000</v>
      </c>
      <c r="H122" s="10">
        <f t="shared" ca="1" si="3"/>
        <v>107.08513413654619</v>
      </c>
    </row>
    <row r="123" spans="1:8" x14ac:dyDescent="0.3">
      <c r="A123" s="1">
        <v>122</v>
      </c>
      <c r="B123" s="8">
        <f ca="1">'일자별 주가'!B123*'종목 기본정보'!B$2*'종목 기본정보'!B$3</f>
        <v>101595000000</v>
      </c>
      <c r="C123" s="8">
        <f ca="1">'일자별 주가'!C123*'종목 기본정보'!C$2*'종목 기본정보'!C$3</f>
        <v>135247500000</v>
      </c>
      <c r="D123" s="8">
        <f ca="1">'일자별 주가'!D123*'종목 기본정보'!D$2*'종목 기본정보'!D$3</f>
        <v>415034800000</v>
      </c>
      <c r="E123" s="8">
        <f ca="1">'일자별 주가'!E123*'종목 기본정보'!E$2*'종목 기본정보'!E$3</f>
        <v>86932560000</v>
      </c>
      <c r="F123" s="8">
        <f ca="1">'일자별 주가'!F123*'종목 기본정보'!F$2*'종목 기본정보'!F$3</f>
        <v>601268000000</v>
      </c>
      <c r="G123" s="9">
        <f t="shared" ca="1" si="2"/>
        <v>1340077860000</v>
      </c>
      <c r="H123" s="10">
        <f t="shared" ca="1" si="3"/>
        <v>107.63677590361446</v>
      </c>
    </row>
    <row r="124" spans="1:8" x14ac:dyDescent="0.3">
      <c r="A124" s="1">
        <v>123</v>
      </c>
      <c r="B124" s="8">
        <f ca="1">'일자별 주가'!B124*'종목 기본정보'!B$2*'종목 기본정보'!B$3</f>
        <v>98992500000</v>
      </c>
      <c r="C124" s="8">
        <f ca="1">'일자별 주가'!C124*'종목 기본정보'!C$2*'종목 기본정보'!C$3</f>
        <v>138636000000</v>
      </c>
      <c r="D124" s="8">
        <f ca="1">'일자별 주가'!D124*'종목 기본정보'!D$2*'종목 기본정보'!D$3</f>
        <v>404096000000</v>
      </c>
      <c r="E124" s="8">
        <f ca="1">'일자별 주가'!E124*'종목 기본정보'!E$2*'종목 기본정보'!E$3</f>
        <v>86126480000</v>
      </c>
      <c r="F124" s="8">
        <f ca="1">'일자별 주가'!F124*'종목 기본정보'!F$2*'종목 기본정보'!F$3</f>
        <v>595349000000</v>
      </c>
      <c r="G124" s="9">
        <f t="shared" ca="1" si="2"/>
        <v>1323199980000</v>
      </c>
      <c r="H124" s="10">
        <f t="shared" ca="1" si="3"/>
        <v>106.28112289156626</v>
      </c>
    </row>
    <row r="125" spans="1:8" x14ac:dyDescent="0.3">
      <c r="A125" s="1">
        <v>124</v>
      </c>
      <c r="B125" s="8">
        <f ca="1">'일자별 주가'!B125*'종목 기본정보'!B$2*'종목 기본정보'!B$3</f>
        <v>97620000000</v>
      </c>
      <c r="C125" s="8">
        <f ca="1">'일자별 주가'!C125*'종목 기본정보'!C$2*'종목 기본정보'!C$3</f>
        <v>141336000000</v>
      </c>
      <c r="D125" s="8">
        <f ca="1">'일자별 주가'!D125*'종목 기본정보'!D$2*'종목 기본정보'!D$3</f>
        <v>392107600000</v>
      </c>
      <c r="E125" s="8">
        <f ca="1">'일자별 주가'!E125*'종목 기본정보'!E$2*'종목 기본정보'!E$3</f>
        <v>87863600000</v>
      </c>
      <c r="F125" s="8">
        <f ca="1">'일자별 주가'!F125*'종목 기본정보'!F$2*'종목 기본정보'!F$3</f>
        <v>579712500000</v>
      </c>
      <c r="G125" s="9">
        <f t="shared" ca="1" si="2"/>
        <v>1298639700000</v>
      </c>
      <c r="H125" s="10">
        <f t="shared" ca="1" si="3"/>
        <v>104.30840963855421</v>
      </c>
    </row>
    <row r="126" spans="1:8" x14ac:dyDescent="0.3">
      <c r="A126" s="1">
        <v>125</v>
      </c>
      <c r="B126" s="8">
        <f ca="1">'일자별 주가'!B126*'종목 기본정보'!B$2*'종목 기본정보'!B$3</f>
        <v>97147500000</v>
      </c>
      <c r="C126" s="8">
        <f ca="1">'일자별 주가'!C126*'종목 기본정보'!C$2*'종목 기본정보'!C$3</f>
        <v>138532500000</v>
      </c>
      <c r="D126" s="8">
        <f ca="1">'일자별 주가'!D126*'종목 기본정보'!D$2*'종목 기본정보'!D$3</f>
        <v>403587600000</v>
      </c>
      <c r="E126" s="8">
        <f ca="1">'일자별 주가'!E126*'종목 기본정보'!E$2*'종목 기본정보'!E$3</f>
        <v>85661840000</v>
      </c>
      <c r="F126" s="8">
        <f ca="1">'일자별 주가'!F126*'종목 기본정보'!F$2*'종목 기본정보'!F$3</f>
        <v>581792500000</v>
      </c>
      <c r="G126" s="9">
        <f t="shared" ca="1" si="2"/>
        <v>1306721940000</v>
      </c>
      <c r="H126" s="10">
        <f t="shared" ca="1" si="3"/>
        <v>104.95758554216867</v>
      </c>
    </row>
    <row r="127" spans="1:8" x14ac:dyDescent="0.3">
      <c r="A127" s="1">
        <v>126</v>
      </c>
      <c r="B127" s="8">
        <f ca="1">'일자별 주가'!B127*'종목 기본정보'!B$2*'종목 기본정보'!B$3</f>
        <v>96532500000</v>
      </c>
      <c r="C127" s="8">
        <f ca="1">'일자별 주가'!C127*'종목 기본정보'!C$2*'종목 기본정보'!C$3</f>
        <v>137547000000</v>
      </c>
      <c r="D127" s="8">
        <f ca="1">'일자별 주가'!D127*'종목 기본정보'!D$2*'종목 기본정보'!D$3</f>
        <v>397995200000</v>
      </c>
      <c r="E127" s="8">
        <f ca="1">'일자별 주가'!E127*'종목 기본정보'!E$2*'종목 기본정보'!E$3</f>
        <v>83575360000</v>
      </c>
      <c r="F127" s="8">
        <f ca="1">'일자별 주가'!F127*'종목 기본정보'!F$2*'종목 기본정보'!F$3</f>
        <v>565080000000</v>
      </c>
      <c r="G127" s="9">
        <f t="shared" ca="1" si="2"/>
        <v>1280730060000</v>
      </c>
      <c r="H127" s="10">
        <f t="shared" ca="1" si="3"/>
        <v>102.8698843373494</v>
      </c>
    </row>
    <row r="128" spans="1:8" x14ac:dyDescent="0.3">
      <c r="A128" s="1">
        <v>127</v>
      </c>
      <c r="B128" s="8">
        <f ca="1">'일자별 주가'!B128*'종목 기본정보'!B$2*'종목 기본정보'!B$3</f>
        <v>98610000000</v>
      </c>
      <c r="C128" s="8">
        <f ca="1">'일자별 주가'!C128*'종목 기본정보'!C$2*'종목 기본정보'!C$3</f>
        <v>133816500000</v>
      </c>
      <c r="D128" s="8">
        <f ca="1">'일자별 주가'!D128*'종목 기본정보'!D$2*'종목 기본정보'!D$3</f>
        <v>396355200000</v>
      </c>
      <c r="E128" s="8">
        <f ca="1">'일자별 주가'!E128*'종목 기본정보'!E$2*'종목 기본정보'!E$3</f>
        <v>82670720000</v>
      </c>
      <c r="F128" s="8">
        <f ca="1">'일자별 주가'!F128*'종목 기본정보'!F$2*'종목 기본정보'!F$3</f>
        <v>578762500000</v>
      </c>
      <c r="G128" s="9">
        <f t="shared" ca="1" si="2"/>
        <v>1290214920000</v>
      </c>
      <c r="H128" s="10">
        <f t="shared" ca="1" si="3"/>
        <v>103.6317204819277</v>
      </c>
    </row>
    <row r="129" spans="1:8" x14ac:dyDescent="0.3">
      <c r="A129" s="1">
        <v>128</v>
      </c>
      <c r="B129" s="8">
        <f ca="1">'일자별 주가'!B129*'종목 기본정보'!B$2*'종목 기본정보'!B$3</f>
        <v>101437500000</v>
      </c>
      <c r="C129" s="8">
        <f ca="1">'일자별 주가'!C129*'종목 기본정보'!C$2*'종목 기본정보'!C$3</f>
        <v>131157000000</v>
      </c>
      <c r="D129" s="8">
        <f ca="1">'일자별 주가'!D129*'종목 기본정보'!D$2*'종목 기본정보'!D$3</f>
        <v>388991600000</v>
      </c>
      <c r="E129" s="8">
        <f ca="1">'일자별 주가'!E129*'종목 기본정보'!E$2*'종목 기본정보'!E$3</f>
        <v>81829440000</v>
      </c>
      <c r="F129" s="8">
        <f ca="1">'일자별 주가'!F129*'종목 기본정보'!F$2*'종목 기본정보'!F$3</f>
        <v>576238500000</v>
      </c>
      <c r="G129" s="9">
        <f t="shared" ca="1" si="2"/>
        <v>1279654040000</v>
      </c>
      <c r="H129" s="10">
        <f t="shared" ca="1" si="3"/>
        <v>102.78345702811245</v>
      </c>
    </row>
    <row r="130" spans="1:8" x14ac:dyDescent="0.3">
      <c r="A130" s="1">
        <v>129</v>
      </c>
      <c r="B130" s="8">
        <f ca="1">'일자별 주가'!B130*'종목 기본정보'!B$2*'종목 기본정보'!B$3</f>
        <v>99352500000</v>
      </c>
      <c r="C130" s="8">
        <f ca="1">'일자별 주가'!C130*'종목 기본정보'!C$2*'종목 기본정보'!C$3</f>
        <v>132286500000</v>
      </c>
      <c r="D130" s="8">
        <f ca="1">'일자별 주가'!D130*'종목 기본정보'!D$2*'종목 기본정보'!D$3</f>
        <v>377790400000</v>
      </c>
      <c r="E130" s="8">
        <f ca="1">'일자별 주가'!E130*'종목 기본정보'!E$2*'종목 기본정보'!E$3</f>
        <v>79808960000</v>
      </c>
      <c r="F130" s="8">
        <f ca="1">'일자별 주가'!F130*'종목 기본정보'!F$2*'종목 기본정보'!F$3</f>
        <v>577436500000</v>
      </c>
      <c r="G130" s="9">
        <f t="shared" ca="1" si="2"/>
        <v>1266674860000</v>
      </c>
      <c r="H130" s="10">
        <f t="shared" ca="1" si="3"/>
        <v>101.74095261044175</v>
      </c>
    </row>
    <row r="131" spans="1:8" x14ac:dyDescent="0.3">
      <c r="A131" s="1">
        <v>130</v>
      </c>
      <c r="B131" s="8">
        <f ca="1">'일자별 주가'!B131*'종목 기본정보'!B$2*'종목 기본정보'!B$3</f>
        <v>97455000000</v>
      </c>
      <c r="C131" s="8">
        <f ca="1">'일자별 주가'!C131*'종목 기본정보'!C$2*'종목 기본정보'!C$3</f>
        <v>131733000000</v>
      </c>
      <c r="D131" s="8">
        <f ca="1">'일자별 주가'!D131*'종목 기본정보'!D$2*'종목 기본정보'!D$3</f>
        <v>373608400000</v>
      </c>
      <c r="E131" s="8">
        <f ca="1">'일자별 주가'!E131*'종목 기본정보'!E$2*'종목 기본정보'!E$3</f>
        <v>79230800000</v>
      </c>
      <c r="F131" s="8">
        <f ca="1">'일자별 주가'!F131*'종목 기본정보'!F$2*'종목 기본정보'!F$3</f>
        <v>588696500000</v>
      </c>
      <c r="G131" s="9">
        <f t="shared" ref="G131:G194" ca="1" si="4">SUM(B131:F131)</f>
        <v>1270723700000</v>
      </c>
      <c r="H131" s="10">
        <f t="shared" ref="H131:H194" ca="1" si="5">G131/G$2*100</f>
        <v>102.06616064257028</v>
      </c>
    </row>
    <row r="132" spans="1:8" x14ac:dyDescent="0.3">
      <c r="A132" s="1">
        <v>131</v>
      </c>
      <c r="B132" s="8">
        <f ca="1">'일자별 주가'!B132*'종목 기본정보'!B$2*'종목 기본정보'!B$3</f>
        <v>97447500000</v>
      </c>
      <c r="C132" s="8">
        <f ca="1">'일자별 주가'!C132*'종목 기본정보'!C$2*'종목 기본정보'!C$3</f>
        <v>135900000000</v>
      </c>
      <c r="D132" s="8">
        <f ca="1">'일자별 주가'!D132*'종목 기본정보'!D$2*'종목 기본정보'!D$3</f>
        <v>366441600000</v>
      </c>
      <c r="E132" s="8">
        <f ca="1">'일자별 주가'!E132*'종목 기본정보'!E$2*'종목 기본정보'!E$3</f>
        <v>78275120000</v>
      </c>
      <c r="F132" s="8">
        <f ca="1">'일자별 주가'!F132*'종목 기본정보'!F$2*'종목 기본정보'!F$3</f>
        <v>571985000000</v>
      </c>
      <c r="G132" s="9">
        <f t="shared" ca="1" si="4"/>
        <v>1250049220000</v>
      </c>
      <c r="H132" s="10">
        <f t="shared" ca="1" si="5"/>
        <v>100.40555983935744</v>
      </c>
    </row>
    <row r="133" spans="1:8" x14ac:dyDescent="0.3">
      <c r="A133" s="1">
        <v>132</v>
      </c>
      <c r="B133" s="8">
        <f ca="1">'일자별 주가'!B133*'종목 기본정보'!B$2*'종목 기본정보'!B$3</f>
        <v>100380000000</v>
      </c>
      <c r="C133" s="8">
        <f ca="1">'일자별 주가'!C133*'종목 기본정보'!C$2*'종목 기본정보'!C$3</f>
        <v>138834000000</v>
      </c>
      <c r="D133" s="8">
        <f ca="1">'일자별 주가'!D133*'종목 기본정보'!D$2*'종목 기본정보'!D$3</f>
        <v>370968000000</v>
      </c>
      <c r="E133" s="8">
        <f ca="1">'일자별 주가'!E133*'종목 기본정보'!E$2*'종목 기본정보'!E$3</f>
        <v>77337040000</v>
      </c>
      <c r="F133" s="8">
        <f ca="1">'일자별 주가'!F133*'종목 기본정보'!F$2*'종목 기본정보'!F$3</f>
        <v>582195000000</v>
      </c>
      <c r="G133" s="9">
        <f t="shared" ca="1" si="4"/>
        <v>1269714040000</v>
      </c>
      <c r="H133" s="10">
        <f t="shared" ca="1" si="5"/>
        <v>101.98506345381526</v>
      </c>
    </row>
    <row r="134" spans="1:8" x14ac:dyDescent="0.3">
      <c r="A134" s="1">
        <v>133</v>
      </c>
      <c r="B134" s="8">
        <f ca="1">'일자별 주가'!B134*'종목 기본정보'!B$2*'종목 기본정보'!B$3</f>
        <v>100327500000</v>
      </c>
      <c r="C134" s="8">
        <f ca="1">'일자별 주가'!C134*'종목 기본정보'!C$2*'종목 기본정보'!C$3</f>
        <v>135139500000</v>
      </c>
      <c r="D134" s="8">
        <f ca="1">'일자별 주가'!D134*'종목 기본정보'!D$2*'종목 기본정보'!D$3</f>
        <v>371017200000</v>
      </c>
      <c r="E134" s="8">
        <f ca="1">'일자별 주가'!E134*'종목 기본정보'!E$2*'종목 기본정보'!E$3</f>
        <v>79681360000</v>
      </c>
      <c r="F134" s="8">
        <f ca="1">'일자별 주가'!F134*'종목 기본정보'!F$2*'종목 기본정보'!F$3</f>
        <v>591870000000</v>
      </c>
      <c r="G134" s="9">
        <f t="shared" ca="1" si="4"/>
        <v>1278035560000</v>
      </c>
      <c r="H134" s="10">
        <f t="shared" ca="1" si="5"/>
        <v>102.65345863453814</v>
      </c>
    </row>
    <row r="135" spans="1:8" x14ac:dyDescent="0.3">
      <c r="A135" s="1">
        <v>134</v>
      </c>
      <c r="B135" s="8">
        <f ca="1">'일자별 주가'!B135*'종목 기본정보'!B$2*'종목 기본정보'!B$3</f>
        <v>102757500000</v>
      </c>
      <c r="C135" s="8">
        <f ca="1">'일자별 주가'!C135*'종목 기본정보'!C$2*'종목 기본정보'!C$3</f>
        <v>138474000000</v>
      </c>
      <c r="D135" s="8">
        <f ca="1">'일자별 주가'!D135*'종목 기본정보'!D$2*'종목 기본정보'!D$3</f>
        <v>369114800000</v>
      </c>
      <c r="E135" s="8">
        <f ca="1">'일자별 주가'!E135*'종목 기본정보'!E$2*'종목 기본정보'!E$3</f>
        <v>80191760000</v>
      </c>
      <c r="F135" s="8">
        <f ca="1">'일자별 주가'!F135*'종목 기본정보'!F$2*'종목 기본정보'!F$3</f>
        <v>590461500000</v>
      </c>
      <c r="G135" s="9">
        <f t="shared" ca="1" si="4"/>
        <v>1280999560000</v>
      </c>
      <c r="H135" s="10">
        <f t="shared" ca="1" si="5"/>
        <v>102.89153092369479</v>
      </c>
    </row>
    <row r="136" spans="1:8" x14ac:dyDescent="0.3">
      <c r="A136" s="1">
        <v>135</v>
      </c>
      <c r="B136" s="8">
        <f ca="1">'일자별 주가'!B136*'종목 기본정보'!B$2*'종목 기본정보'!B$3</f>
        <v>102457500000</v>
      </c>
      <c r="C136" s="8">
        <f ca="1">'일자별 주가'!C136*'종목 기본정보'!C$2*'종목 기본정보'!C$3</f>
        <v>140886000000</v>
      </c>
      <c r="D136" s="8">
        <f ca="1">'일자별 주가'!D136*'종목 기본정보'!D$2*'종목 기본정보'!D$3</f>
        <v>380972000000</v>
      </c>
      <c r="E136" s="8">
        <f ca="1">'일자별 주가'!E136*'종목 기본정보'!E$2*'종목 기본정보'!E$3</f>
        <v>80796320000</v>
      </c>
      <c r="F136" s="8">
        <f ca="1">'일자별 주가'!F136*'종목 기본정보'!F$2*'종목 기본정보'!F$3</f>
        <v>599636500000</v>
      </c>
      <c r="G136" s="9">
        <f t="shared" ca="1" si="4"/>
        <v>1304748320000</v>
      </c>
      <c r="H136" s="10">
        <f t="shared" ca="1" si="5"/>
        <v>104.79906184738957</v>
      </c>
    </row>
    <row r="137" spans="1:8" x14ac:dyDescent="0.3">
      <c r="A137" s="1">
        <v>136</v>
      </c>
      <c r="B137" s="8">
        <f ca="1">'일자별 주가'!B137*'종목 기본정보'!B$2*'종목 기본정보'!B$3</f>
        <v>105675000000</v>
      </c>
      <c r="C137" s="8">
        <f ca="1">'일자별 주가'!C137*'종목 기본정보'!C$2*'종목 기본정보'!C$3</f>
        <v>136957500000</v>
      </c>
      <c r="D137" s="8">
        <f ca="1">'일자별 주가'!D137*'종목 기본정보'!D$2*'종목 기본정보'!D$3</f>
        <v>370754800000</v>
      </c>
      <c r="E137" s="8">
        <f ca="1">'일자별 주가'!E137*'종목 기본정보'!E$2*'종목 기본정보'!E$3</f>
        <v>81197600000</v>
      </c>
      <c r="F137" s="8">
        <f ca="1">'일자별 주가'!F137*'종목 기본정보'!F$2*'종목 기본정보'!F$3</f>
        <v>614569000000</v>
      </c>
      <c r="G137" s="9">
        <f t="shared" ca="1" si="4"/>
        <v>1309153900000</v>
      </c>
      <c r="H137" s="10">
        <f t="shared" ca="1" si="5"/>
        <v>105.1529236947791</v>
      </c>
    </row>
    <row r="138" spans="1:8" x14ac:dyDescent="0.3">
      <c r="A138" s="1">
        <v>137</v>
      </c>
      <c r="B138" s="8">
        <f ca="1">'일자별 주가'!B138*'종목 기본정보'!B$2*'종목 기본정보'!B$3</f>
        <v>103515000000</v>
      </c>
      <c r="C138" s="8">
        <f ca="1">'일자별 주가'!C138*'종목 기본정보'!C$2*'종목 기본정보'!C$3</f>
        <v>135292500000</v>
      </c>
      <c r="D138" s="8">
        <f ca="1">'일자별 주가'!D138*'종목 기본정보'!D$2*'종목 기본정보'!D$3</f>
        <v>380102800000</v>
      </c>
      <c r="E138" s="8">
        <f ca="1">'일자별 주가'!E138*'종목 기본정보'!E$2*'종목 기본정보'!E$3</f>
        <v>80696880000</v>
      </c>
      <c r="F138" s="8">
        <f ca="1">'일자별 주가'!F138*'종목 기본정보'!F$2*'종목 기본정보'!F$3</f>
        <v>603197000000</v>
      </c>
      <c r="G138" s="9">
        <f t="shared" ca="1" si="4"/>
        <v>1302804180000</v>
      </c>
      <c r="H138" s="10">
        <f t="shared" ca="1" si="5"/>
        <v>104.64290602409638</v>
      </c>
    </row>
    <row r="139" spans="1:8" x14ac:dyDescent="0.3">
      <c r="A139" s="1">
        <v>138</v>
      </c>
      <c r="B139" s="8">
        <f ca="1">'일자별 주가'!B139*'종목 기본정보'!B$2*'종목 기본정보'!B$3</f>
        <v>104362500000</v>
      </c>
      <c r="C139" s="8">
        <f ca="1">'일자별 주가'!C139*'종목 기본정보'!C$2*'종목 기본정보'!C$3</f>
        <v>136489500000</v>
      </c>
      <c r="D139" s="8">
        <f ca="1">'일자별 주가'!D139*'종목 기본정보'!D$2*'종목 기본정보'!D$3</f>
        <v>390516800000</v>
      </c>
      <c r="E139" s="8">
        <f ca="1">'일자별 주가'!E139*'종목 기본정보'!E$2*'종목 기본정보'!E$3</f>
        <v>81947360000</v>
      </c>
      <c r="F139" s="8">
        <f ca="1">'일자별 주가'!F139*'종목 기본정보'!F$2*'종목 기본정보'!F$3</f>
        <v>615091000000</v>
      </c>
      <c r="G139" s="9">
        <f t="shared" ca="1" si="4"/>
        <v>1328407160000</v>
      </c>
      <c r="H139" s="10">
        <f t="shared" ca="1" si="5"/>
        <v>106.6993702811245</v>
      </c>
    </row>
    <row r="140" spans="1:8" x14ac:dyDescent="0.3">
      <c r="A140" s="1">
        <v>139</v>
      </c>
      <c r="B140" s="8">
        <f ca="1">'일자별 주가'!B140*'종목 기본정보'!B$2*'종목 기본정보'!B$3</f>
        <v>105712500000</v>
      </c>
      <c r="C140" s="8">
        <f ca="1">'일자별 주가'!C140*'종목 기본정보'!C$2*'종목 기본정보'!C$3</f>
        <v>138762000000</v>
      </c>
      <c r="D140" s="8">
        <f ca="1">'일자별 주가'!D140*'종목 기본정보'!D$2*'종목 기본정보'!D$3</f>
        <v>379528800000</v>
      </c>
      <c r="E140" s="8">
        <f ca="1">'일자별 주가'!E140*'종목 기본정보'!E$2*'종목 기본정보'!E$3</f>
        <v>82781600000</v>
      </c>
      <c r="F140" s="8">
        <f ca="1">'일자별 주가'!F140*'종목 기본정보'!F$2*'종목 기본정보'!F$3</f>
        <v>619652000000</v>
      </c>
      <c r="G140" s="9">
        <f t="shared" ca="1" si="4"/>
        <v>1326436900000</v>
      </c>
      <c r="H140" s="10">
        <f t="shared" ca="1" si="5"/>
        <v>106.54111646586347</v>
      </c>
    </row>
    <row r="141" spans="1:8" x14ac:dyDescent="0.3">
      <c r="A141" s="1">
        <v>140</v>
      </c>
      <c r="B141" s="8">
        <f ca="1">'일자별 주가'!B141*'종목 기본정보'!B$2*'종목 기본정보'!B$3</f>
        <v>104527500000</v>
      </c>
      <c r="C141" s="8">
        <f ca="1">'일자별 주가'!C141*'종목 기본정보'!C$2*'종목 기본정보'!C$3</f>
        <v>136449000000</v>
      </c>
      <c r="D141" s="8">
        <f ca="1">'일자별 주가'!D141*'종목 기본정보'!D$2*'종목 기본정보'!D$3</f>
        <v>381726400000</v>
      </c>
      <c r="E141" s="8">
        <f ca="1">'일자별 주가'!E141*'종목 기본정보'!E$2*'종목 기본정보'!E$3</f>
        <v>80921280000</v>
      </c>
      <c r="F141" s="8">
        <f ca="1">'일자별 주가'!F141*'종목 기본정보'!F$2*'종목 기본정보'!F$3</f>
        <v>612859500000</v>
      </c>
      <c r="G141" s="9">
        <f t="shared" ca="1" si="4"/>
        <v>1316483680000</v>
      </c>
      <c r="H141" s="10">
        <f t="shared" ca="1" si="5"/>
        <v>105.74166104417671</v>
      </c>
    </row>
    <row r="142" spans="1:8" x14ac:dyDescent="0.3">
      <c r="A142" s="1">
        <v>141</v>
      </c>
      <c r="B142" s="8">
        <f ca="1">'일자별 주가'!B142*'종목 기본정보'!B$2*'종목 기본정보'!B$3</f>
        <v>104205000000</v>
      </c>
      <c r="C142" s="8">
        <f ca="1">'일자별 주가'!C142*'종목 기본정보'!C$2*'종목 기본정보'!C$3</f>
        <v>134433000000</v>
      </c>
      <c r="D142" s="8">
        <f ca="1">'일자별 주가'!D142*'종목 기본정보'!D$2*'종목 기본정보'!D$3</f>
        <v>386351200000</v>
      </c>
      <c r="E142" s="8">
        <f ca="1">'일자별 주가'!E142*'종목 기본정보'!E$2*'종목 기본정보'!E$3</f>
        <v>79593360000</v>
      </c>
      <c r="F142" s="8">
        <f ca="1">'일자별 주가'!F142*'종목 기본정보'!F$2*'종목 기본정보'!F$3</f>
        <v>616159500000</v>
      </c>
      <c r="G142" s="9">
        <f t="shared" ca="1" si="4"/>
        <v>1320742060000</v>
      </c>
      <c r="H142" s="10">
        <f t="shared" ca="1" si="5"/>
        <v>106.08369959839357</v>
      </c>
    </row>
    <row r="143" spans="1:8" x14ac:dyDescent="0.3">
      <c r="A143" s="1">
        <v>142</v>
      </c>
      <c r="B143" s="8">
        <f ca="1">'일자별 주가'!B143*'종목 기본정보'!B$2*'종목 기본정보'!B$3</f>
        <v>105045000000</v>
      </c>
      <c r="C143" s="8">
        <f ca="1">'일자별 주가'!C143*'종목 기본정보'!C$2*'종목 기본정보'!C$3</f>
        <v>134284500000</v>
      </c>
      <c r="D143" s="8">
        <f ca="1">'일자별 주가'!D143*'종목 기본정보'!D$2*'종목 기본정보'!D$3</f>
        <v>375051600000</v>
      </c>
      <c r="E143" s="8">
        <f ca="1">'일자별 주가'!E143*'종목 기본정보'!E$2*'종목 기본정보'!E$3</f>
        <v>82107520000</v>
      </c>
      <c r="F143" s="8">
        <f ca="1">'일자별 주가'!F143*'종목 기본정보'!F$2*'종목 기본정보'!F$3</f>
        <v>625687500000</v>
      </c>
      <c r="G143" s="9">
        <f t="shared" ca="1" si="4"/>
        <v>1322176120000</v>
      </c>
      <c r="H143" s="10">
        <f t="shared" ca="1" si="5"/>
        <v>106.19888514056224</v>
      </c>
    </row>
    <row r="144" spans="1:8" x14ac:dyDescent="0.3">
      <c r="A144" s="1">
        <v>143</v>
      </c>
      <c r="B144" s="8">
        <f ca="1">'일자별 주가'!B144*'종목 기본정보'!B$2*'종목 기본정보'!B$3</f>
        <v>108150000000</v>
      </c>
      <c r="C144" s="8">
        <f ca="1">'일자별 주가'!C144*'종목 기본정보'!C$2*'종목 기본정보'!C$3</f>
        <v>138123000000</v>
      </c>
      <c r="D144" s="8">
        <f ca="1">'일자별 주가'!D144*'종목 기본정보'!D$2*'종목 기본정보'!D$3</f>
        <v>369967600000</v>
      </c>
      <c r="E144" s="8">
        <f ca="1">'일자별 주가'!E144*'종목 기본정보'!E$2*'종목 기본정보'!E$3</f>
        <v>80554320000</v>
      </c>
      <c r="F144" s="8">
        <f ca="1">'일자별 주가'!F144*'종목 기본정보'!F$2*'종목 기본정보'!F$3</f>
        <v>611881500000</v>
      </c>
      <c r="G144" s="9">
        <f t="shared" ca="1" si="4"/>
        <v>1308676420000</v>
      </c>
      <c r="H144" s="10">
        <f t="shared" ca="1" si="5"/>
        <v>105.1145718875502</v>
      </c>
    </row>
    <row r="145" spans="1:8" x14ac:dyDescent="0.3">
      <c r="A145" s="1">
        <v>144</v>
      </c>
      <c r="B145" s="8">
        <f ca="1">'일자별 주가'!B145*'종목 기본정보'!B$2*'종목 기본정보'!B$3</f>
        <v>108405000000</v>
      </c>
      <c r="C145" s="8">
        <f ca="1">'일자별 주가'!C145*'종목 기본정보'!C$2*'종목 기본정보'!C$3</f>
        <v>140400000000</v>
      </c>
      <c r="D145" s="8">
        <f ca="1">'일자별 주가'!D145*'종목 기본정보'!D$2*'종목 기본정보'!D$3</f>
        <v>360734400000</v>
      </c>
      <c r="E145" s="8">
        <f ca="1">'일자별 주가'!E145*'종목 기본정보'!E$2*'종목 기본정보'!E$3</f>
        <v>80710960000</v>
      </c>
      <c r="F145" s="8">
        <f ca="1">'일자별 주가'!F145*'종목 기본정보'!F$2*'종목 기본정보'!F$3</f>
        <v>606014000000</v>
      </c>
      <c r="G145" s="9">
        <f t="shared" ca="1" si="4"/>
        <v>1296264360000</v>
      </c>
      <c r="H145" s="10">
        <f t="shared" ca="1" si="5"/>
        <v>104.11761927710843</v>
      </c>
    </row>
    <row r="146" spans="1:8" x14ac:dyDescent="0.3">
      <c r="A146" s="1">
        <v>145</v>
      </c>
      <c r="B146" s="8">
        <f ca="1">'일자별 주가'!B146*'종목 기본정보'!B$2*'종목 기본정보'!B$3</f>
        <v>111472500000</v>
      </c>
      <c r="C146" s="8">
        <f ca="1">'일자별 주가'!C146*'종목 기본정보'!C$2*'종목 기본정보'!C$3</f>
        <v>136332000000</v>
      </c>
      <c r="D146" s="8">
        <f ca="1">'일자별 주가'!D146*'종목 기본정보'!D$2*'종목 기본정보'!D$3</f>
        <v>366392400000</v>
      </c>
      <c r="E146" s="8">
        <f ca="1">'일자별 주가'!E146*'종목 기본정보'!E$2*'종목 기본정보'!E$3</f>
        <v>80036880000</v>
      </c>
      <c r="F146" s="8">
        <f ca="1">'일자별 주가'!F146*'종목 기본정보'!F$2*'종목 기본정보'!F$3</f>
        <v>605493000000</v>
      </c>
      <c r="G146" s="9">
        <f t="shared" ca="1" si="4"/>
        <v>1299726780000</v>
      </c>
      <c r="H146" s="10">
        <f t="shared" ca="1" si="5"/>
        <v>104.39572530120482</v>
      </c>
    </row>
    <row r="147" spans="1:8" x14ac:dyDescent="0.3">
      <c r="A147" s="1">
        <v>146</v>
      </c>
      <c r="B147" s="8">
        <f ca="1">'일자별 주가'!B147*'종목 기본정보'!B$2*'종목 기본정보'!B$3</f>
        <v>109050000000</v>
      </c>
      <c r="C147" s="8">
        <f ca="1">'일자별 주가'!C147*'종목 기본정보'!C$2*'종목 기본정보'!C$3</f>
        <v>140706000000</v>
      </c>
      <c r="D147" s="8">
        <f ca="1">'일자별 주가'!D147*'종목 기본정보'!D$2*'종목 기본정보'!D$3</f>
        <v>371115600000</v>
      </c>
      <c r="E147" s="8">
        <f ca="1">'일자별 주가'!E147*'종목 기본정보'!E$2*'종목 기본정보'!E$3</f>
        <v>78858560000</v>
      </c>
      <c r="F147" s="8">
        <f ca="1">'일자별 주가'!F147*'종목 기본정보'!F$2*'종목 기본정보'!F$3</f>
        <v>613051000000</v>
      </c>
      <c r="G147" s="9">
        <f t="shared" ca="1" si="4"/>
        <v>1312781160000</v>
      </c>
      <c r="H147" s="10">
        <f t="shared" ca="1" si="5"/>
        <v>105.44426987951807</v>
      </c>
    </row>
    <row r="148" spans="1:8" x14ac:dyDescent="0.3">
      <c r="A148" s="1">
        <v>147</v>
      </c>
      <c r="B148" s="8">
        <f ca="1">'일자별 주가'!B148*'종목 기본정보'!B$2*'종목 기본정보'!B$3</f>
        <v>110062500000</v>
      </c>
      <c r="C148" s="8">
        <f ca="1">'일자별 주가'!C148*'종목 기본정보'!C$2*'종목 기본정보'!C$3</f>
        <v>145071000000</v>
      </c>
      <c r="D148" s="8">
        <f ca="1">'일자별 주가'!D148*'종목 기본정보'!D$2*'종목 기본정보'!D$3</f>
        <v>364096400000</v>
      </c>
      <c r="E148" s="8">
        <f ca="1">'일자별 주가'!E148*'종목 기본정보'!E$2*'종목 기본정보'!E$3</f>
        <v>77843040000</v>
      </c>
      <c r="F148" s="8">
        <f ca="1">'일자별 주가'!F148*'종목 기본정보'!F$2*'종목 기본정보'!F$3</f>
        <v>618035000000</v>
      </c>
      <c r="G148" s="9">
        <f t="shared" ca="1" si="4"/>
        <v>1315107940000</v>
      </c>
      <c r="H148" s="10">
        <f t="shared" ca="1" si="5"/>
        <v>105.63115983935742</v>
      </c>
    </row>
    <row r="149" spans="1:8" x14ac:dyDescent="0.3">
      <c r="A149" s="1">
        <v>148</v>
      </c>
      <c r="B149" s="8">
        <f ca="1">'일자별 주가'!B149*'종목 기본정보'!B$2*'종목 기본정보'!B$3</f>
        <v>111840000000</v>
      </c>
      <c r="C149" s="8">
        <f ca="1">'일자별 주가'!C149*'종목 기본정보'!C$2*'종목 기본정보'!C$3</f>
        <v>143883000000</v>
      </c>
      <c r="D149" s="8">
        <f ca="1">'일자별 주가'!D149*'종목 기본정보'!D$2*'종목 기본정보'!D$3</f>
        <v>355584800000</v>
      </c>
      <c r="E149" s="8">
        <f ca="1">'일자별 주가'!E149*'종목 기본정보'!E$2*'종목 기본정보'!E$3</f>
        <v>77913440000</v>
      </c>
      <c r="F149" s="8">
        <f ca="1">'일자별 주가'!F149*'종목 기본정보'!F$2*'종목 기본정보'!F$3</f>
        <v>634797000000</v>
      </c>
      <c r="G149" s="9">
        <f t="shared" ca="1" si="4"/>
        <v>1324018240000</v>
      </c>
      <c r="H149" s="10">
        <f t="shared" ca="1" si="5"/>
        <v>106.34684658634539</v>
      </c>
    </row>
    <row r="150" spans="1:8" x14ac:dyDescent="0.3">
      <c r="A150" s="1">
        <v>149</v>
      </c>
      <c r="B150" s="8">
        <f ca="1">'일자별 주가'!B150*'종목 기본정보'!B$2*'종목 기본정보'!B$3</f>
        <v>109162500000</v>
      </c>
      <c r="C150" s="8">
        <f ca="1">'일자별 주가'!C150*'종목 기본정보'!C$2*'종목 기본정보'!C$3</f>
        <v>142582500000</v>
      </c>
      <c r="D150" s="8">
        <f ca="1">'일자별 주가'!D150*'종목 기본정보'!D$2*'종목 기본정보'!D$3</f>
        <v>345088800000</v>
      </c>
      <c r="E150" s="8">
        <f ca="1">'일자별 주가'!E150*'종목 기본정보'!E$2*'종목 기본정보'!E$3</f>
        <v>76809920000</v>
      </c>
      <c r="F150" s="8">
        <f ca="1">'일자별 주가'!F150*'종목 기본정보'!F$2*'종목 기본정보'!F$3</f>
        <v>631174500000</v>
      </c>
      <c r="G150" s="9">
        <f t="shared" ca="1" si="4"/>
        <v>1304818220000</v>
      </c>
      <c r="H150" s="10">
        <f t="shared" ca="1" si="5"/>
        <v>104.80467630522088</v>
      </c>
    </row>
    <row r="151" spans="1:8" x14ac:dyDescent="0.3">
      <c r="A151" s="1">
        <v>150</v>
      </c>
      <c r="B151" s="8">
        <f ca="1">'일자별 주가'!B151*'종목 기본정보'!B$2*'종목 기본정보'!B$3</f>
        <v>107827500000</v>
      </c>
      <c r="C151" s="8">
        <f ca="1">'일자별 주가'!C151*'종목 기본정보'!C$2*'종목 기본정보'!C$3</f>
        <v>145251000000</v>
      </c>
      <c r="D151" s="8">
        <f ca="1">'일자별 주가'!D151*'종목 기본정보'!D$2*'종목 기본정보'!D$3</f>
        <v>344908400000</v>
      </c>
      <c r="E151" s="8">
        <f ca="1">'일자별 주가'!E151*'종목 기본정보'!E$2*'종목 기본정보'!E$3</f>
        <v>76168400000</v>
      </c>
      <c r="F151" s="8">
        <f ca="1">'일자별 주가'!F151*'종목 기본정보'!F$2*'종목 기본정보'!F$3</f>
        <v>641363000000</v>
      </c>
      <c r="G151" s="9">
        <f t="shared" ca="1" si="4"/>
        <v>1315518300000</v>
      </c>
      <c r="H151" s="10">
        <f t="shared" ca="1" si="5"/>
        <v>105.66412048192771</v>
      </c>
    </row>
    <row r="152" spans="1:8" x14ac:dyDescent="0.3">
      <c r="A152" s="1">
        <v>151</v>
      </c>
      <c r="B152" s="8">
        <f ca="1">'일자별 주가'!B152*'종목 기본정보'!B$2*'종목 기본정보'!B$3</f>
        <v>107557500000</v>
      </c>
      <c r="C152" s="8">
        <f ca="1">'일자별 주가'!C152*'종목 기본정보'!C$2*'종목 기본정보'!C$3</f>
        <v>142083000000</v>
      </c>
      <c r="D152" s="8">
        <f ca="1">'일자별 주가'!D152*'종목 기본정보'!D$2*'종목 기본정보'!D$3</f>
        <v>347417600000</v>
      </c>
      <c r="E152" s="8">
        <f ca="1">'일자별 주가'!E152*'종목 기본정보'!E$2*'종목 기본정보'!E$3</f>
        <v>74003600000</v>
      </c>
      <c r="F152" s="8">
        <f ca="1">'일자별 주가'!F152*'종목 기본정보'!F$2*'종목 기본정보'!F$3</f>
        <v>652326000000</v>
      </c>
      <c r="G152" s="9">
        <f t="shared" ca="1" si="4"/>
        <v>1323387700000</v>
      </c>
      <c r="H152" s="10">
        <f t="shared" ca="1" si="5"/>
        <v>106.29620080321286</v>
      </c>
    </row>
    <row r="153" spans="1:8" x14ac:dyDescent="0.3">
      <c r="A153" s="1">
        <v>152</v>
      </c>
      <c r="B153" s="8">
        <f ca="1">'일자별 주가'!B153*'종목 기본정보'!B$2*'종목 기본정보'!B$3</f>
        <v>107677500000</v>
      </c>
      <c r="C153" s="8">
        <f ca="1">'일자별 주가'!C153*'종목 기본정보'!C$2*'종목 기본정보'!C$3</f>
        <v>145399500000</v>
      </c>
      <c r="D153" s="8">
        <f ca="1">'일자별 주가'!D153*'종목 기본정보'!D$2*'종목 기본정보'!D$3</f>
        <v>337167600000</v>
      </c>
      <c r="E153" s="8">
        <f ca="1">'일자별 주가'!E153*'종목 기본정보'!E$2*'종목 기본정보'!E$3</f>
        <v>76336480000</v>
      </c>
      <c r="F153" s="8">
        <f ca="1">'일자별 주가'!F153*'종목 기본정보'!F$2*'종목 기본정보'!F$3</f>
        <v>659751500000</v>
      </c>
      <c r="G153" s="9">
        <f t="shared" ca="1" si="4"/>
        <v>1326332580000</v>
      </c>
      <c r="H153" s="10">
        <f t="shared" ca="1" si="5"/>
        <v>106.53273734939759</v>
      </c>
    </row>
    <row r="154" spans="1:8" x14ac:dyDescent="0.3">
      <c r="A154" s="1">
        <v>153</v>
      </c>
      <c r="B154" s="8">
        <f ca="1">'일자별 주가'!B154*'종목 기본정보'!B$2*'종목 기본정보'!B$3</f>
        <v>108502500000</v>
      </c>
      <c r="C154" s="8">
        <f ca="1">'일자별 주가'!C154*'종목 기본정보'!C$2*'종목 기본정보'!C$3</f>
        <v>141129000000</v>
      </c>
      <c r="D154" s="8">
        <f ca="1">'일자별 주가'!D154*'종목 기본정보'!D$2*'종목 기본정보'!D$3</f>
        <v>328688800000</v>
      </c>
      <c r="E154" s="8">
        <f ca="1">'일자별 주가'!E154*'종목 기본정보'!E$2*'종목 기본정보'!E$3</f>
        <v>77442640000</v>
      </c>
      <c r="F154" s="8">
        <f ca="1">'일자별 주가'!F154*'종목 기본정보'!F$2*'종목 기본정보'!F$3</f>
        <v>669368000000</v>
      </c>
      <c r="G154" s="9">
        <f t="shared" ca="1" si="4"/>
        <v>1325130940000</v>
      </c>
      <c r="H154" s="10">
        <f t="shared" ca="1" si="5"/>
        <v>106.43622008032128</v>
      </c>
    </row>
    <row r="155" spans="1:8" x14ac:dyDescent="0.3">
      <c r="A155" s="1">
        <v>154</v>
      </c>
      <c r="B155" s="8">
        <f ca="1">'일자별 주가'!B155*'종목 기본정보'!B$2*'종목 기본정보'!B$3</f>
        <v>110895000000</v>
      </c>
      <c r="C155" s="8">
        <f ca="1">'일자별 주가'!C155*'종목 기본정보'!C$2*'종목 기본정보'!C$3</f>
        <v>141772500000</v>
      </c>
      <c r="D155" s="8">
        <f ca="1">'일자별 주가'!D155*'종목 기본정보'!D$2*'종목 기본정보'!D$3</f>
        <v>337758000000</v>
      </c>
      <c r="E155" s="8">
        <f ca="1">'일자별 주가'!E155*'종목 기본정보'!E$2*'종목 기본정보'!E$3</f>
        <v>75352640000</v>
      </c>
      <c r="F155" s="8">
        <f ca="1">'일자별 주가'!F155*'종목 기본정보'!F$2*'종목 기본정보'!F$3</f>
        <v>671587000000</v>
      </c>
      <c r="G155" s="9">
        <f t="shared" ca="1" si="4"/>
        <v>1337365140000</v>
      </c>
      <c r="H155" s="10">
        <f t="shared" ca="1" si="5"/>
        <v>107.41888674698797</v>
      </c>
    </row>
    <row r="156" spans="1:8" x14ac:dyDescent="0.3">
      <c r="A156" s="1">
        <v>155</v>
      </c>
      <c r="B156" s="8">
        <f ca="1">'일자별 주가'!B156*'종목 기본정보'!B$2*'종목 기본정보'!B$3</f>
        <v>108037500000</v>
      </c>
      <c r="C156" s="8">
        <f ca="1">'일자별 주가'!C156*'종목 기본정보'!C$2*'종목 기본정보'!C$3</f>
        <v>139230000000</v>
      </c>
      <c r="D156" s="8">
        <f ca="1">'일자별 주가'!D156*'종목 기본정보'!D$2*'종목 기본정보'!D$3</f>
        <v>338742000000</v>
      </c>
      <c r="E156" s="8">
        <f ca="1">'일자별 주가'!E156*'종목 기본정보'!E$2*'종목 기본정보'!E$3</f>
        <v>77670560000</v>
      </c>
      <c r="F156" s="8">
        <f ca="1">'일자별 주가'!F156*'종목 기본정보'!F$2*'종목 기본정보'!F$3</f>
        <v>687266500000</v>
      </c>
      <c r="G156" s="9">
        <f t="shared" ca="1" si="4"/>
        <v>1350946560000</v>
      </c>
      <c r="H156" s="10">
        <f t="shared" ca="1" si="5"/>
        <v>108.50976385542168</v>
      </c>
    </row>
    <row r="157" spans="1:8" x14ac:dyDescent="0.3">
      <c r="A157" s="1">
        <v>156</v>
      </c>
      <c r="B157" s="8">
        <f ca="1">'일자별 주가'!B157*'종목 기본정보'!B$2*'종목 기본정보'!B$3</f>
        <v>110565000000</v>
      </c>
      <c r="C157" s="8">
        <f ca="1">'일자별 주가'!C157*'종목 기본정보'!C$2*'종목 기본정보'!C$3</f>
        <v>142357500000</v>
      </c>
      <c r="D157" s="8">
        <f ca="1">'일자별 주가'!D157*'종목 기본정보'!D$2*'종목 기본정보'!D$3</f>
        <v>336938000000</v>
      </c>
      <c r="E157" s="8">
        <f ca="1">'일자별 주가'!E157*'종목 기본정보'!E$2*'종목 기본정보'!E$3</f>
        <v>77659120000</v>
      </c>
      <c r="F157" s="8">
        <f ca="1">'일자별 주가'!F157*'종목 기본정보'!F$2*'종목 기본정보'!F$3</f>
        <v>689086500000</v>
      </c>
      <c r="G157" s="9">
        <f t="shared" ca="1" si="4"/>
        <v>1356606120000</v>
      </c>
      <c r="H157" s="10">
        <f t="shared" ca="1" si="5"/>
        <v>108.96434698795181</v>
      </c>
    </row>
    <row r="158" spans="1:8" x14ac:dyDescent="0.3">
      <c r="A158" s="1">
        <v>157</v>
      </c>
      <c r="B158" s="8">
        <f ca="1">'일자별 주가'!B158*'종목 기본정보'!B$2*'종목 기본정보'!B$3</f>
        <v>109575000000</v>
      </c>
      <c r="C158" s="8">
        <f ca="1">'일자별 주가'!C158*'종목 기본정보'!C$2*'종목 기본정보'!C$3</f>
        <v>144522000000</v>
      </c>
      <c r="D158" s="8">
        <f ca="1">'일자별 주가'!D158*'종목 기본정보'!D$2*'종목 기본정보'!D$3</f>
        <v>332510000000</v>
      </c>
      <c r="E158" s="8">
        <f ca="1">'일자별 주가'!E158*'종목 기본정보'!E$2*'종목 기본정보'!E$3</f>
        <v>80030720000</v>
      </c>
      <c r="F158" s="8">
        <f ca="1">'일자별 주가'!F158*'종목 기본정보'!F$2*'종목 기본정보'!F$3</f>
        <v>700839000000</v>
      </c>
      <c r="G158" s="9">
        <f t="shared" ca="1" si="4"/>
        <v>1367476720000</v>
      </c>
      <c r="H158" s="10">
        <f t="shared" ca="1" si="5"/>
        <v>109.83748755020079</v>
      </c>
    </row>
    <row r="159" spans="1:8" x14ac:dyDescent="0.3">
      <c r="A159" s="1">
        <v>158</v>
      </c>
      <c r="B159" s="8">
        <f ca="1">'일자별 주가'!B159*'종목 기본정보'!B$2*'종목 기본정보'!B$3</f>
        <v>112807500000</v>
      </c>
      <c r="C159" s="8">
        <f ca="1">'일자별 주가'!C159*'종목 기본정보'!C$2*'종목 기본정보'!C$3</f>
        <v>142443000000</v>
      </c>
      <c r="D159" s="8">
        <f ca="1">'일자별 주가'!D159*'종목 기본정보'!D$2*'종목 기본정보'!D$3</f>
        <v>325605600000</v>
      </c>
      <c r="E159" s="8">
        <f ca="1">'일자별 주가'!E159*'종목 기본정보'!E$2*'종목 기본정보'!E$3</f>
        <v>81304080000</v>
      </c>
      <c r="F159" s="8">
        <f ca="1">'일자별 주가'!F159*'종목 기본정보'!F$2*'종목 기본정보'!F$3</f>
        <v>690402000000</v>
      </c>
      <c r="G159" s="9">
        <f t="shared" ca="1" si="4"/>
        <v>1352562180000</v>
      </c>
      <c r="H159" s="10">
        <f t="shared" ca="1" si="5"/>
        <v>108.63953253012049</v>
      </c>
    </row>
    <row r="160" spans="1:8" x14ac:dyDescent="0.3">
      <c r="A160" s="1">
        <v>159</v>
      </c>
      <c r="B160" s="8">
        <f ca="1">'일자별 주가'!B160*'종목 기본정보'!B$2*'종목 기본정보'!B$3</f>
        <v>114637500000</v>
      </c>
      <c r="C160" s="8">
        <f ca="1">'일자별 주가'!C160*'종목 기본정보'!C$2*'종목 기본정보'!C$3</f>
        <v>139657500000</v>
      </c>
      <c r="D160" s="8">
        <f ca="1">'일자별 주가'!D160*'종목 기본정보'!D$2*'종목 기본정보'!D$3</f>
        <v>332149200000</v>
      </c>
      <c r="E160" s="8">
        <f ca="1">'일자별 주가'!E160*'종목 기본정보'!E$2*'종목 기본정보'!E$3</f>
        <v>79010800000</v>
      </c>
      <c r="F160" s="8">
        <f ca="1">'일자별 주가'!F160*'종목 기본정보'!F$2*'종목 기본정보'!F$3</f>
        <v>673982500000</v>
      </c>
      <c r="G160" s="9">
        <f t="shared" ca="1" si="4"/>
        <v>1339437500000</v>
      </c>
      <c r="H160" s="10">
        <f t="shared" ca="1" si="5"/>
        <v>107.58534136546186</v>
      </c>
    </row>
    <row r="161" spans="1:8" x14ac:dyDescent="0.3">
      <c r="A161" s="1">
        <v>160</v>
      </c>
      <c r="B161" s="8">
        <f ca="1">'일자별 주가'!B161*'종목 기본정보'!B$2*'종목 기본정보'!B$3</f>
        <v>113977500000</v>
      </c>
      <c r="C161" s="8">
        <f ca="1">'일자별 주가'!C161*'종목 기본정보'!C$2*'종목 기본정보'!C$3</f>
        <v>137695500000</v>
      </c>
      <c r="D161" s="8">
        <f ca="1">'일자별 주가'!D161*'종목 기본정보'!D$2*'종목 기본정보'!D$3</f>
        <v>341726800000</v>
      </c>
      <c r="E161" s="8">
        <f ca="1">'일자별 주가'!E161*'종목 기본정보'!E$2*'종목 기본정보'!E$3</f>
        <v>79188560000</v>
      </c>
      <c r="F161" s="8">
        <f ca="1">'일자별 주가'!F161*'종목 기본정보'!F$2*'종목 기본정보'!F$3</f>
        <v>668362500000</v>
      </c>
      <c r="G161" s="9">
        <f t="shared" ca="1" si="4"/>
        <v>1340950860000</v>
      </c>
      <c r="H161" s="10">
        <f t="shared" ca="1" si="5"/>
        <v>107.70689638554217</v>
      </c>
    </row>
    <row r="162" spans="1:8" x14ac:dyDescent="0.3">
      <c r="A162" s="1">
        <v>161</v>
      </c>
      <c r="B162" s="8">
        <f ca="1">'일자별 주가'!B162*'종목 기본정보'!B$2*'종목 기본정보'!B$3</f>
        <v>117270000000</v>
      </c>
      <c r="C162" s="8">
        <f ca="1">'일자별 주가'!C162*'종목 기본정보'!C$2*'종목 기본정보'!C$3</f>
        <v>138528000000</v>
      </c>
      <c r="D162" s="8">
        <f ca="1">'일자별 주가'!D162*'종목 기본정보'!D$2*'종목 기본정보'!D$3</f>
        <v>347827600000</v>
      </c>
      <c r="E162" s="8">
        <f ca="1">'일자별 주가'!E162*'종목 기본정보'!E$2*'종목 기본정보'!E$3</f>
        <v>81274160000</v>
      </c>
      <c r="F162" s="8">
        <f ca="1">'일자별 주가'!F162*'종목 기본정보'!F$2*'종목 기본정보'!F$3</f>
        <v>669916000000</v>
      </c>
      <c r="G162" s="9">
        <f t="shared" ca="1" si="4"/>
        <v>1354815760000</v>
      </c>
      <c r="H162" s="10">
        <f t="shared" ca="1" si="5"/>
        <v>108.82054297188755</v>
      </c>
    </row>
    <row r="163" spans="1:8" x14ac:dyDescent="0.3">
      <c r="A163" s="1">
        <v>162</v>
      </c>
      <c r="B163" s="8">
        <f ca="1">'일자별 주가'!B163*'종목 기본정보'!B$2*'종목 기본정보'!B$3</f>
        <v>116955000000</v>
      </c>
      <c r="C163" s="8">
        <f ca="1">'일자별 주가'!C163*'종목 기본정보'!C$2*'종목 기본정보'!C$3</f>
        <v>138375000000</v>
      </c>
      <c r="D163" s="8">
        <f ca="1">'일자별 주가'!D163*'종목 기본정보'!D$2*'종목 기본정보'!D$3</f>
        <v>347352000000</v>
      </c>
      <c r="E163" s="8">
        <f ca="1">'일자별 주가'!E163*'종목 기본정보'!E$2*'종목 기본정보'!E$3</f>
        <v>79844160000</v>
      </c>
      <c r="F163" s="8">
        <f ca="1">'일자별 주가'!F163*'종목 기본정보'!F$2*'종목 기본정보'!F$3</f>
        <v>687839500000</v>
      </c>
      <c r="G163" s="9">
        <f t="shared" ca="1" si="4"/>
        <v>1370365660000</v>
      </c>
      <c r="H163" s="10">
        <f t="shared" ca="1" si="5"/>
        <v>110.06953092369478</v>
      </c>
    </row>
    <row r="164" spans="1:8" x14ac:dyDescent="0.3">
      <c r="A164" s="1">
        <v>163</v>
      </c>
      <c r="B164" s="8">
        <f ca="1">'일자별 주가'!B164*'종목 기본정보'!B$2*'종목 기본정보'!B$3</f>
        <v>118080000000</v>
      </c>
      <c r="C164" s="8">
        <f ca="1">'일자별 주가'!C164*'종목 기본정보'!C$2*'종목 기본정보'!C$3</f>
        <v>141057000000</v>
      </c>
      <c r="D164" s="8">
        <f ca="1">'일자별 주가'!D164*'종목 기본정보'!D$2*'종목 기본정보'!D$3</f>
        <v>347581600000</v>
      </c>
      <c r="E164" s="8">
        <f ca="1">'일자별 주가'!E164*'종목 기본정보'!E$2*'종목 기본정보'!E$3</f>
        <v>77945120000</v>
      </c>
      <c r="F164" s="8">
        <f ca="1">'일자별 주가'!F164*'종목 기본정보'!F$2*'종목 기본정보'!F$3</f>
        <v>704063500000</v>
      </c>
      <c r="G164" s="9">
        <f t="shared" ca="1" si="4"/>
        <v>1388727220000</v>
      </c>
      <c r="H164" s="10">
        <f t="shared" ca="1" si="5"/>
        <v>111.5443550200803</v>
      </c>
    </row>
    <row r="165" spans="1:8" x14ac:dyDescent="0.3">
      <c r="A165" s="1">
        <v>164</v>
      </c>
      <c r="B165" s="8">
        <f ca="1">'일자별 주가'!B165*'종목 기본정보'!B$2*'종목 기본정보'!B$3</f>
        <v>114630000000</v>
      </c>
      <c r="C165" s="8">
        <f ca="1">'일자별 주가'!C165*'종목 기본정보'!C$2*'종목 기본정보'!C$3</f>
        <v>145125000000</v>
      </c>
      <c r="D165" s="8">
        <f ca="1">'일자별 주가'!D165*'종목 기본정보'!D$2*'종목 기본정보'!D$3</f>
        <v>356257200000</v>
      </c>
      <c r="E165" s="8">
        <f ca="1">'일자별 주가'!E165*'종목 기본정보'!E$2*'종목 기본정보'!E$3</f>
        <v>79067120000</v>
      </c>
      <c r="F165" s="8">
        <f ca="1">'일자별 주가'!F165*'종목 기본정보'!F$2*'종목 기본정보'!F$3</f>
        <v>721536500000</v>
      </c>
      <c r="G165" s="9">
        <f t="shared" ca="1" si="4"/>
        <v>1416615820000</v>
      </c>
      <c r="H165" s="10">
        <f t="shared" ca="1" si="5"/>
        <v>113.78440321285142</v>
      </c>
    </row>
    <row r="166" spans="1:8" x14ac:dyDescent="0.3">
      <c r="A166" s="1">
        <v>165</v>
      </c>
      <c r="B166" s="8">
        <f ca="1">'일자별 주가'!B166*'종목 기본정보'!B$2*'종목 기본정보'!B$3</f>
        <v>114690000000</v>
      </c>
      <c r="C166" s="8">
        <f ca="1">'일자별 주가'!C166*'종목 기본정보'!C$2*'종목 기본정보'!C$3</f>
        <v>147978000000</v>
      </c>
      <c r="D166" s="8">
        <f ca="1">'일자별 주가'!D166*'종목 기본정보'!D$2*'종목 기본정보'!D$3</f>
        <v>352714800000</v>
      </c>
      <c r="E166" s="8">
        <f ca="1">'일자별 주가'!E166*'종목 기본정보'!E$2*'종목 기본정보'!E$3</f>
        <v>78241680000</v>
      </c>
      <c r="F166" s="8">
        <f ca="1">'일자별 주가'!F166*'종목 기본정보'!F$2*'종목 기본정보'!F$3</f>
        <v>717120500000</v>
      </c>
      <c r="G166" s="9">
        <f t="shared" ca="1" si="4"/>
        <v>1410744980000</v>
      </c>
      <c r="H166" s="10">
        <f t="shared" ca="1" si="5"/>
        <v>113.31284979919678</v>
      </c>
    </row>
    <row r="167" spans="1:8" x14ac:dyDescent="0.3">
      <c r="A167" s="1">
        <v>166</v>
      </c>
      <c r="B167" s="8">
        <f ca="1">'일자별 주가'!B167*'종목 기본정보'!B$2*'종목 기본정보'!B$3</f>
        <v>113632500000</v>
      </c>
      <c r="C167" s="8">
        <f ca="1">'일자별 주가'!C167*'종목 기본정보'!C$2*'종목 기본정보'!C$3</f>
        <v>149449500000</v>
      </c>
      <c r="D167" s="8">
        <f ca="1">'일자별 주가'!D167*'종목 기본정보'!D$2*'종목 기본정보'!D$3</f>
        <v>360964000000</v>
      </c>
      <c r="E167" s="8">
        <f ca="1">'일자별 주가'!E167*'종목 기본정보'!E$2*'종목 기본정보'!E$3</f>
        <v>80356320000</v>
      </c>
      <c r="F167" s="8">
        <f ca="1">'일자별 주가'!F167*'종목 기본정보'!F$2*'종목 기본정보'!F$3</f>
        <v>721045000000</v>
      </c>
      <c r="G167" s="9">
        <f t="shared" ca="1" si="4"/>
        <v>1425447320000</v>
      </c>
      <c r="H167" s="10">
        <f t="shared" ca="1" si="5"/>
        <v>114.49376064257028</v>
      </c>
    </row>
    <row r="168" spans="1:8" x14ac:dyDescent="0.3">
      <c r="A168" s="1">
        <v>167</v>
      </c>
      <c r="B168" s="8">
        <f ca="1">'일자별 주가'!B168*'종목 기본정보'!B$2*'종목 기본정보'!B$3</f>
        <v>113077500000</v>
      </c>
      <c r="C168" s="8">
        <f ca="1">'일자별 주가'!C168*'종목 기본정보'!C$2*'종목 기본정보'!C$3</f>
        <v>149647500000</v>
      </c>
      <c r="D168" s="8">
        <f ca="1">'일자별 주가'!D168*'종목 기본정보'!D$2*'종목 기본정보'!D$3</f>
        <v>365310000000</v>
      </c>
      <c r="E168" s="8">
        <f ca="1">'일자별 주가'!E168*'종목 기본정보'!E$2*'종목 기본정보'!E$3</f>
        <v>79823040000</v>
      </c>
      <c r="F168" s="8">
        <f ca="1">'일자별 주가'!F168*'종목 기본정보'!F$2*'종목 기본정보'!F$3</f>
        <v>700763500000</v>
      </c>
      <c r="G168" s="9">
        <f t="shared" ca="1" si="4"/>
        <v>1408621540000</v>
      </c>
      <c r="H168" s="10">
        <f t="shared" ca="1" si="5"/>
        <v>113.1422923694779</v>
      </c>
    </row>
    <row r="169" spans="1:8" x14ac:dyDescent="0.3">
      <c r="A169" s="1">
        <v>168</v>
      </c>
      <c r="B169" s="8">
        <f ca="1">'일자별 주가'!B169*'종목 기본정보'!B$2*'종목 기본정보'!B$3</f>
        <v>110737500000</v>
      </c>
      <c r="C169" s="8">
        <f ca="1">'일자별 주가'!C169*'종목 기본정보'!C$2*'종목 기본정보'!C$3</f>
        <v>152122500000</v>
      </c>
      <c r="D169" s="8">
        <f ca="1">'일자별 주가'!D169*'종목 기본정보'!D$2*'종목 기본정보'!D$3</f>
        <v>361144400000</v>
      </c>
      <c r="E169" s="8">
        <f ca="1">'일자별 주가'!E169*'종목 기본정보'!E$2*'종목 기본정보'!E$3</f>
        <v>82236880000</v>
      </c>
      <c r="F169" s="8">
        <f ca="1">'일자별 주가'!F169*'종목 기본정보'!F$2*'종목 기본정보'!F$3</f>
        <v>711158500000</v>
      </c>
      <c r="G169" s="9">
        <f t="shared" ca="1" si="4"/>
        <v>1417399780000</v>
      </c>
      <c r="H169" s="10">
        <f t="shared" ca="1" si="5"/>
        <v>113.84737188755021</v>
      </c>
    </row>
    <row r="170" spans="1:8" x14ac:dyDescent="0.3">
      <c r="A170" s="1">
        <v>169</v>
      </c>
      <c r="B170" s="8">
        <f ca="1">'일자별 주가'!B170*'종목 기본정보'!B$2*'종목 기본정보'!B$3</f>
        <v>107775000000</v>
      </c>
      <c r="C170" s="8">
        <f ca="1">'일자별 주가'!C170*'종목 기본정보'!C$2*'종목 기본정보'!C$3</f>
        <v>149382000000</v>
      </c>
      <c r="D170" s="8">
        <f ca="1">'일자별 주가'!D170*'종목 기본정보'!D$2*'종목 기본정보'!D$3</f>
        <v>356273600000</v>
      </c>
      <c r="E170" s="8">
        <f ca="1">'일자별 주가'!E170*'종목 기본정보'!E$2*'종목 기본정보'!E$3</f>
        <v>80418800000</v>
      </c>
      <c r="F170" s="8">
        <f ca="1">'일자별 주가'!F170*'종목 기본정보'!F$2*'종목 기본정보'!F$3</f>
        <v>710266000000</v>
      </c>
      <c r="G170" s="9">
        <f t="shared" ca="1" si="4"/>
        <v>1404115400000</v>
      </c>
      <c r="H170" s="10">
        <f t="shared" ca="1" si="5"/>
        <v>112.78035341365462</v>
      </c>
    </row>
    <row r="171" spans="1:8" x14ac:dyDescent="0.3">
      <c r="A171" s="1">
        <v>170</v>
      </c>
      <c r="B171" s="8">
        <f ca="1">'일자별 주가'!B171*'종목 기본정보'!B$2*'종목 기본정보'!B$3</f>
        <v>110782500000</v>
      </c>
      <c r="C171" s="8">
        <f ca="1">'일자별 주가'!C171*'종목 기본정보'!C$2*'종목 기본정보'!C$3</f>
        <v>144994500000</v>
      </c>
      <c r="D171" s="8">
        <f ca="1">'일자별 주가'!D171*'종목 기본정보'!D$2*'종목 기본정보'!D$3</f>
        <v>359783200000</v>
      </c>
      <c r="E171" s="8">
        <f ca="1">'일자별 주가'!E171*'종목 기본정보'!E$2*'종목 기본정보'!E$3</f>
        <v>78342880000</v>
      </c>
      <c r="F171" s="8">
        <f ca="1">'일자별 주가'!F171*'종목 기본정보'!F$2*'종목 기본정보'!F$3</f>
        <v>690890000000</v>
      </c>
      <c r="G171" s="9">
        <f t="shared" ca="1" si="4"/>
        <v>1384793080000</v>
      </c>
      <c r="H171" s="10">
        <f t="shared" ca="1" si="5"/>
        <v>111.22835983935744</v>
      </c>
    </row>
    <row r="172" spans="1:8" x14ac:dyDescent="0.3">
      <c r="A172" s="1">
        <v>171</v>
      </c>
      <c r="B172" s="8">
        <f ca="1">'일자별 주가'!B172*'종목 기본정보'!B$2*'종목 기본정보'!B$3</f>
        <v>108675000000</v>
      </c>
      <c r="C172" s="8">
        <f ca="1">'일자별 주가'!C172*'종목 기본정보'!C$2*'종목 기본정보'!C$3</f>
        <v>146182500000</v>
      </c>
      <c r="D172" s="8">
        <f ca="1">'일자별 주가'!D172*'종목 기본정보'!D$2*'종목 기본정보'!D$3</f>
        <v>356732800000</v>
      </c>
      <c r="E172" s="8">
        <f ca="1">'일자별 주가'!E172*'종목 기본정보'!E$2*'종목 기본정보'!E$3</f>
        <v>79943600000</v>
      </c>
      <c r="F172" s="8">
        <f ca="1">'일자별 주가'!F172*'종목 기본정보'!F$2*'종목 기본정보'!F$3</f>
        <v>677813500000</v>
      </c>
      <c r="G172" s="9">
        <f t="shared" ca="1" si="4"/>
        <v>1369347400000</v>
      </c>
      <c r="H172" s="10">
        <f t="shared" ca="1" si="5"/>
        <v>109.98774297188756</v>
      </c>
    </row>
    <row r="173" spans="1:8" x14ac:dyDescent="0.3">
      <c r="A173" s="1">
        <v>172</v>
      </c>
      <c r="B173" s="8">
        <f ca="1">'일자별 주가'!B173*'종목 기본정보'!B$2*'종목 기본정보'!B$3</f>
        <v>106050000000</v>
      </c>
      <c r="C173" s="8">
        <f ca="1">'일자별 주가'!C173*'종목 기본정보'!C$2*'종목 기본정보'!C$3</f>
        <v>144202500000</v>
      </c>
      <c r="D173" s="8">
        <f ca="1">'일자별 주가'!D173*'종목 기본정보'!D$2*'종목 기본정보'!D$3</f>
        <v>359652000000</v>
      </c>
      <c r="E173" s="8">
        <f ca="1">'일자별 주가'!E173*'종목 기본정보'!E$2*'종목 기본정보'!E$3</f>
        <v>80270080000</v>
      </c>
      <c r="F173" s="8">
        <f ca="1">'일자별 주가'!F173*'종목 기본정보'!F$2*'종목 기본정보'!F$3</f>
        <v>693884500000</v>
      </c>
      <c r="G173" s="9">
        <f t="shared" ca="1" si="4"/>
        <v>1384059080000</v>
      </c>
      <c r="H173" s="10">
        <f t="shared" ca="1" si="5"/>
        <v>111.16940401606425</v>
      </c>
    </row>
    <row r="174" spans="1:8" x14ac:dyDescent="0.3">
      <c r="A174" s="1">
        <v>173</v>
      </c>
      <c r="B174" s="8">
        <f ca="1">'일자별 주가'!B174*'종목 기본정보'!B$2*'종목 기본정보'!B$3</f>
        <v>107010000000</v>
      </c>
      <c r="C174" s="8">
        <f ca="1">'일자별 주가'!C174*'종목 기본정보'!C$2*'종목 기본정보'!C$3</f>
        <v>143262000000</v>
      </c>
      <c r="D174" s="8">
        <f ca="1">'일자별 주가'!D174*'종목 기본정보'!D$2*'종목 기본정보'!D$3</f>
        <v>354486000000</v>
      </c>
      <c r="E174" s="8">
        <f ca="1">'일자별 주가'!E174*'종목 기본정보'!E$2*'종목 기본정보'!E$3</f>
        <v>80578080000</v>
      </c>
      <c r="F174" s="8">
        <f ca="1">'일자별 주가'!F174*'종목 기본정보'!F$2*'종목 기본정보'!F$3</f>
        <v>689968000000</v>
      </c>
      <c r="G174" s="9">
        <f t="shared" ca="1" si="4"/>
        <v>1375304080000</v>
      </c>
      <c r="H174" s="10">
        <f t="shared" ca="1" si="5"/>
        <v>110.46619116465864</v>
      </c>
    </row>
    <row r="175" spans="1:8" x14ac:dyDescent="0.3">
      <c r="A175" s="1">
        <v>174</v>
      </c>
      <c r="B175" s="8">
        <f ca="1">'일자별 주가'!B175*'종목 기본정보'!B$2*'종목 기본정보'!B$3</f>
        <v>104925000000</v>
      </c>
      <c r="C175" s="8">
        <f ca="1">'일자별 주가'!C175*'종목 기본정보'!C$2*'종목 기본정보'!C$3</f>
        <v>139333500000</v>
      </c>
      <c r="D175" s="8">
        <f ca="1">'일자별 주가'!D175*'종목 기본정보'!D$2*'종목 기본정보'!D$3</f>
        <v>356011200000</v>
      </c>
      <c r="E175" s="8">
        <f ca="1">'일자별 주가'!E175*'종목 기본정보'!E$2*'종목 기본정보'!E$3</f>
        <v>80790160000</v>
      </c>
      <c r="F175" s="8">
        <f ca="1">'일자별 주가'!F175*'종목 기본정보'!F$2*'종목 기본정보'!F$3</f>
        <v>684286000000</v>
      </c>
      <c r="G175" s="9">
        <f t="shared" ca="1" si="4"/>
        <v>1365345860000</v>
      </c>
      <c r="H175" s="10">
        <f t="shared" ca="1" si="5"/>
        <v>109.66633413654618</v>
      </c>
    </row>
    <row r="176" spans="1:8" x14ac:dyDescent="0.3">
      <c r="A176" s="1">
        <v>175</v>
      </c>
      <c r="B176" s="8">
        <f ca="1">'일자별 주가'!B176*'종목 기본정보'!B$2*'종목 기본정보'!B$3</f>
        <v>103830000000</v>
      </c>
      <c r="C176" s="8">
        <f ca="1">'일자별 주가'!C176*'종목 기본정보'!C$2*'종목 기본정보'!C$3</f>
        <v>142573500000</v>
      </c>
      <c r="D176" s="8">
        <f ca="1">'일자별 주가'!D176*'종목 기본정보'!D$2*'종목 기본정보'!D$3</f>
        <v>362472800000</v>
      </c>
      <c r="E176" s="8">
        <f ca="1">'일자별 주가'!E176*'종목 기본정보'!E$2*'종목 기본정보'!E$3</f>
        <v>78459920000</v>
      </c>
      <c r="F176" s="8">
        <f ca="1">'일자별 주가'!F176*'종목 기본정보'!F$2*'종목 기본정보'!F$3</f>
        <v>669689500000</v>
      </c>
      <c r="G176" s="9">
        <f t="shared" ca="1" si="4"/>
        <v>1357025720000</v>
      </c>
      <c r="H176" s="10">
        <f t="shared" ca="1" si="5"/>
        <v>108.99804979919678</v>
      </c>
    </row>
    <row r="177" spans="1:8" x14ac:dyDescent="0.3">
      <c r="A177" s="1">
        <v>176</v>
      </c>
      <c r="B177" s="8">
        <f ca="1">'일자별 주가'!B177*'종목 기본정보'!B$2*'종목 기본정보'!B$3</f>
        <v>106200000000</v>
      </c>
      <c r="C177" s="8">
        <f ca="1">'일자별 주가'!C177*'종목 기본정보'!C$2*'종목 기본정보'!C$3</f>
        <v>140103000000</v>
      </c>
      <c r="D177" s="8">
        <f ca="1">'일자별 주가'!D177*'종목 기본정보'!D$2*'종목 기본정보'!D$3</f>
        <v>353338000000</v>
      </c>
      <c r="E177" s="8">
        <f ca="1">'일자별 주가'!E177*'종목 기본정보'!E$2*'종목 기본정보'!E$3</f>
        <v>77772640000</v>
      </c>
      <c r="F177" s="8">
        <f ca="1">'일자별 주가'!F177*'종목 기본정보'!F$2*'종목 기본정보'!F$3</f>
        <v>685391000000</v>
      </c>
      <c r="G177" s="9">
        <f t="shared" ca="1" si="4"/>
        <v>1362804640000</v>
      </c>
      <c r="H177" s="10">
        <f t="shared" ca="1" si="5"/>
        <v>109.46222008032129</v>
      </c>
    </row>
    <row r="178" spans="1:8" x14ac:dyDescent="0.3">
      <c r="A178" s="1">
        <v>177</v>
      </c>
      <c r="B178" s="8">
        <f ca="1">'일자별 주가'!B178*'종목 기본정보'!B$2*'종목 기본정보'!B$3</f>
        <v>106095000000</v>
      </c>
      <c r="C178" s="8">
        <f ca="1">'일자별 주가'!C178*'종목 기본정보'!C$2*'종목 기본정보'!C$3</f>
        <v>137344500000</v>
      </c>
      <c r="D178" s="8">
        <f ca="1">'일자별 주가'!D178*'종목 기본정보'!D$2*'종목 기본정보'!D$3</f>
        <v>364194800000</v>
      </c>
      <c r="E178" s="8">
        <f ca="1">'일자별 주가'!E178*'종목 기본정보'!E$2*'종목 기본정보'!E$3</f>
        <v>75943120000</v>
      </c>
      <c r="F178" s="8">
        <f ca="1">'일자별 주가'!F178*'종목 기본정보'!F$2*'종목 기본정보'!F$3</f>
        <v>668486500000</v>
      </c>
      <c r="G178" s="9">
        <f t="shared" ca="1" si="4"/>
        <v>1352063920000</v>
      </c>
      <c r="H178" s="10">
        <f t="shared" ca="1" si="5"/>
        <v>108.59951164658635</v>
      </c>
    </row>
    <row r="179" spans="1:8" x14ac:dyDescent="0.3">
      <c r="A179" s="1">
        <v>178</v>
      </c>
      <c r="B179" s="8">
        <f ca="1">'일자별 주가'!B179*'종목 기본정보'!B$2*'종목 기본정보'!B$3</f>
        <v>106957500000</v>
      </c>
      <c r="C179" s="8">
        <f ca="1">'일자별 주가'!C179*'종목 기본정보'!C$2*'종목 기본정보'!C$3</f>
        <v>139747500000</v>
      </c>
      <c r="D179" s="8">
        <f ca="1">'일자별 주가'!D179*'종목 기본정보'!D$2*'종목 기본정보'!D$3</f>
        <v>365802000000</v>
      </c>
      <c r="E179" s="8">
        <f ca="1">'일자별 주가'!E179*'종목 기본정보'!E$2*'종목 기본정보'!E$3</f>
        <v>78109680000</v>
      </c>
      <c r="F179" s="8">
        <f ca="1">'일자별 주가'!F179*'종목 기본정보'!F$2*'종목 기본정보'!F$3</f>
        <v>673669000000</v>
      </c>
      <c r="G179" s="9">
        <f t="shared" ca="1" si="4"/>
        <v>1364285680000</v>
      </c>
      <c r="H179" s="10">
        <f t="shared" ca="1" si="5"/>
        <v>109.58117911646585</v>
      </c>
    </row>
    <row r="180" spans="1:8" x14ac:dyDescent="0.3">
      <c r="A180" s="1">
        <v>179</v>
      </c>
      <c r="B180" s="8">
        <f ca="1">'일자별 주가'!B180*'종목 기본정보'!B$2*'종목 기본정보'!B$3</f>
        <v>109972500000</v>
      </c>
      <c r="C180" s="8">
        <f ca="1">'일자별 주가'!C180*'종목 기본정보'!C$2*'종목 기본정보'!C$3</f>
        <v>136044000000</v>
      </c>
      <c r="D180" s="8">
        <f ca="1">'일자별 주가'!D180*'종목 기본정보'!D$2*'종목 기본정보'!D$3</f>
        <v>358258000000</v>
      </c>
      <c r="E180" s="8">
        <f ca="1">'일자별 주가'!E180*'종목 기본정보'!E$2*'종목 기본정보'!E$3</f>
        <v>78086800000</v>
      </c>
      <c r="F180" s="8">
        <f ca="1">'일자별 주가'!F180*'종목 기본정보'!F$2*'종목 기본정보'!F$3</f>
        <v>664082000000</v>
      </c>
      <c r="G180" s="9">
        <f t="shared" ca="1" si="4"/>
        <v>1346443300000</v>
      </c>
      <c r="H180" s="10">
        <f t="shared" ca="1" si="5"/>
        <v>108.14805622489961</v>
      </c>
    </row>
    <row r="181" spans="1:8" x14ac:dyDescent="0.3">
      <c r="A181" s="1">
        <v>180</v>
      </c>
      <c r="B181" s="8">
        <f ca="1">'일자별 주가'!B181*'종목 기본정보'!B$2*'종목 기본정보'!B$3</f>
        <v>106807500000</v>
      </c>
      <c r="C181" s="8">
        <f ca="1">'일자별 주가'!C181*'종목 기본정보'!C$2*'종목 기본정보'!C$3</f>
        <v>135720000000</v>
      </c>
      <c r="D181" s="8">
        <f ca="1">'일자별 주가'!D181*'종목 기본정보'!D$2*'종목 기본정보'!D$3</f>
        <v>369541200000</v>
      </c>
      <c r="E181" s="8">
        <f ca="1">'일자별 주가'!E181*'종목 기본정보'!E$2*'종목 기본정보'!E$3</f>
        <v>76578480000</v>
      </c>
      <c r="F181" s="8">
        <f ca="1">'일자별 주가'!F181*'종목 기본정보'!F$2*'종목 기본정보'!F$3</f>
        <v>685953500000</v>
      </c>
      <c r="G181" s="9">
        <f t="shared" ca="1" si="4"/>
        <v>1374600680000</v>
      </c>
      <c r="H181" s="10">
        <f t="shared" ca="1" si="5"/>
        <v>110.40969317269077</v>
      </c>
    </row>
    <row r="182" spans="1:8" x14ac:dyDescent="0.3">
      <c r="A182" s="1">
        <v>181</v>
      </c>
      <c r="B182" s="8">
        <f ca="1">'일자별 주가'!B182*'종목 기본정보'!B$2*'종목 기본정보'!B$3</f>
        <v>105285000000</v>
      </c>
      <c r="C182" s="8">
        <f ca="1">'일자별 주가'!C182*'종목 기본정보'!C$2*'종목 기본정보'!C$3</f>
        <v>131674500000</v>
      </c>
      <c r="D182" s="8">
        <f ca="1">'일자별 주가'!D182*'종목 기본정보'!D$2*'종목 기본정보'!D$3</f>
        <v>366884400000</v>
      </c>
      <c r="E182" s="8">
        <f ca="1">'일자별 주가'!E182*'종목 기본정보'!E$2*'종목 기본정보'!E$3</f>
        <v>76536240000</v>
      </c>
      <c r="F182" s="8">
        <f ca="1">'일자별 주가'!F182*'종목 기본정보'!F$2*'종목 기본정보'!F$3</f>
        <v>667024000000</v>
      </c>
      <c r="G182" s="9">
        <f t="shared" ca="1" si="4"/>
        <v>1347404140000</v>
      </c>
      <c r="H182" s="10">
        <f t="shared" ca="1" si="5"/>
        <v>108.22523212851405</v>
      </c>
    </row>
    <row r="183" spans="1:8" x14ac:dyDescent="0.3">
      <c r="A183" s="1">
        <v>182</v>
      </c>
      <c r="B183" s="8">
        <f ca="1">'일자별 주가'!B183*'종목 기본정보'!B$2*'종목 기본정보'!B$3</f>
        <v>107902500000</v>
      </c>
      <c r="C183" s="8">
        <f ca="1">'일자별 주가'!C183*'종목 기본정보'!C$2*'종목 기본정보'!C$3</f>
        <v>129982500000</v>
      </c>
      <c r="D183" s="8">
        <f ca="1">'일자별 주가'!D183*'종목 기본정보'!D$2*'종목 기본정보'!D$3</f>
        <v>378626800000</v>
      </c>
      <c r="E183" s="8">
        <f ca="1">'일자별 주가'!E183*'종목 기본정보'!E$2*'종목 기본정보'!E$3</f>
        <v>76154320000</v>
      </c>
      <c r="F183" s="8">
        <f ca="1">'일자별 주가'!F183*'종목 기본정보'!F$2*'종목 기본정보'!F$3</f>
        <v>685310000000</v>
      </c>
      <c r="G183" s="9">
        <f t="shared" ca="1" si="4"/>
        <v>1377976120000</v>
      </c>
      <c r="H183" s="10">
        <f t="shared" ca="1" si="5"/>
        <v>110.68081285140563</v>
      </c>
    </row>
    <row r="184" spans="1:8" x14ac:dyDescent="0.3">
      <c r="A184" s="1">
        <v>183</v>
      </c>
      <c r="B184" s="8">
        <f ca="1">'일자별 주가'!B184*'종목 기본정보'!B$2*'종목 기본정보'!B$3</f>
        <v>109357500000</v>
      </c>
      <c r="C184" s="8">
        <f ca="1">'일자별 주가'!C184*'종목 기본정보'!C$2*'종목 기본정보'!C$3</f>
        <v>131436000000</v>
      </c>
      <c r="D184" s="8">
        <f ca="1">'일자별 주가'!D184*'종목 기본정보'!D$2*'종목 기본정보'!D$3</f>
        <v>373969200000</v>
      </c>
      <c r="E184" s="8">
        <f ca="1">'일자별 주가'!E184*'종목 기본정보'!E$2*'종목 기본정보'!E$3</f>
        <v>78180960000</v>
      </c>
      <c r="F184" s="8">
        <f ca="1">'일자별 주가'!F184*'종목 기본정보'!F$2*'종목 기본정보'!F$3</f>
        <v>706015000000</v>
      </c>
      <c r="G184" s="9">
        <f t="shared" ca="1" si="4"/>
        <v>1398958660000</v>
      </c>
      <c r="H184" s="10">
        <f t="shared" ca="1" si="5"/>
        <v>112.36615742971887</v>
      </c>
    </row>
    <row r="185" spans="1:8" x14ac:dyDescent="0.3">
      <c r="A185" s="1">
        <v>184</v>
      </c>
      <c r="B185" s="8">
        <f ca="1">'일자별 주가'!B185*'종목 기본정보'!B$2*'종목 기본정보'!B$3</f>
        <v>106627500000</v>
      </c>
      <c r="C185" s="8">
        <f ca="1">'일자별 주가'!C185*'종목 기본정보'!C$2*'종목 기본정보'!C$3</f>
        <v>129816000000</v>
      </c>
      <c r="D185" s="8">
        <f ca="1">'일자별 주가'!D185*'종목 기본정보'!D$2*'종목 기본정보'!D$3</f>
        <v>379086000000</v>
      </c>
      <c r="E185" s="8">
        <f ca="1">'일자별 주가'!E185*'종목 기본정보'!E$2*'종목 기본정보'!E$3</f>
        <v>79479840000</v>
      </c>
      <c r="F185" s="8">
        <f ca="1">'일자별 주가'!F185*'종목 기본정보'!F$2*'종목 기본정보'!F$3</f>
        <v>711087000000</v>
      </c>
      <c r="G185" s="9">
        <f t="shared" ca="1" si="4"/>
        <v>1406096340000</v>
      </c>
      <c r="H185" s="10">
        <f t="shared" ca="1" si="5"/>
        <v>112.93946506024098</v>
      </c>
    </row>
    <row r="186" spans="1:8" x14ac:dyDescent="0.3">
      <c r="A186" s="1">
        <v>185</v>
      </c>
      <c r="B186" s="8">
        <f ca="1">'일자별 주가'!B186*'종목 기본정보'!B$2*'종목 기본정보'!B$3</f>
        <v>104160000000</v>
      </c>
      <c r="C186" s="8">
        <f ca="1">'일자별 주가'!C186*'종목 기본정보'!C$2*'종목 기본정보'!C$3</f>
        <v>127948500000</v>
      </c>
      <c r="D186" s="8">
        <f ca="1">'일자별 주가'!D186*'종목 기본정보'!D$2*'종목 기본정보'!D$3</f>
        <v>381086800000</v>
      </c>
      <c r="E186" s="8">
        <f ca="1">'일자별 주가'!E186*'종목 기본정보'!E$2*'종목 기본정보'!E$3</f>
        <v>79764080000</v>
      </c>
      <c r="F186" s="8">
        <f ca="1">'일자별 주가'!F186*'종목 기본정보'!F$2*'종목 기본정보'!F$3</f>
        <v>696297000000</v>
      </c>
      <c r="G186" s="9">
        <f t="shared" ca="1" si="4"/>
        <v>1389256380000</v>
      </c>
      <c r="H186" s="10">
        <f t="shared" ca="1" si="5"/>
        <v>111.58685783132529</v>
      </c>
    </row>
    <row r="187" spans="1:8" x14ac:dyDescent="0.3">
      <c r="A187" s="1">
        <v>186</v>
      </c>
      <c r="B187" s="8">
        <f ca="1">'일자별 주가'!B187*'종목 기본정보'!B$2*'종목 기본정보'!B$3</f>
        <v>102832500000</v>
      </c>
      <c r="C187" s="8">
        <f ca="1">'일자별 주가'!C187*'종목 기본정보'!C$2*'종목 기본정보'!C$3</f>
        <v>130405500000</v>
      </c>
      <c r="D187" s="8">
        <f ca="1">'일자별 주가'!D187*'종목 기본정보'!D$2*'종목 기본정보'!D$3</f>
        <v>388909600000</v>
      </c>
      <c r="E187" s="8">
        <f ca="1">'일자별 주가'!E187*'종목 기본정보'!E$2*'종목 기본정보'!E$3</f>
        <v>78334960000</v>
      </c>
      <c r="F187" s="8">
        <f ca="1">'일자별 주가'!F187*'종목 기본정보'!F$2*'종목 기본정보'!F$3</f>
        <v>676664000000</v>
      </c>
      <c r="G187" s="9">
        <f t="shared" ca="1" si="4"/>
        <v>1377146560000</v>
      </c>
      <c r="H187" s="10">
        <f t="shared" ca="1" si="5"/>
        <v>110.61418152610443</v>
      </c>
    </row>
    <row r="188" spans="1:8" x14ac:dyDescent="0.3">
      <c r="A188" s="1">
        <v>187</v>
      </c>
      <c r="B188" s="8">
        <f ca="1">'일자별 주가'!B188*'종목 기본정보'!B$2*'종목 기본정보'!B$3</f>
        <v>100965000000</v>
      </c>
      <c r="C188" s="8">
        <f ca="1">'일자별 주가'!C188*'종목 기본정보'!C$2*'종목 기본정보'!C$3</f>
        <v>132628500000</v>
      </c>
      <c r="D188" s="8">
        <f ca="1">'일자별 주가'!D188*'종목 기본정보'!D$2*'종목 기본정보'!D$3</f>
        <v>399569600000</v>
      </c>
      <c r="E188" s="8">
        <f ca="1">'일자별 주가'!E188*'종목 기본정보'!E$2*'종목 기본정보'!E$3</f>
        <v>78890240000</v>
      </c>
      <c r="F188" s="8">
        <f ca="1">'일자별 주가'!F188*'종목 기본정보'!F$2*'종목 기본정보'!F$3</f>
        <v>676707500000</v>
      </c>
      <c r="G188" s="9">
        <f t="shared" ca="1" si="4"/>
        <v>1388760840000</v>
      </c>
      <c r="H188" s="10">
        <f t="shared" ca="1" si="5"/>
        <v>111.54705542168675</v>
      </c>
    </row>
    <row r="189" spans="1:8" x14ac:dyDescent="0.3">
      <c r="A189" s="1">
        <v>188</v>
      </c>
      <c r="B189" s="8">
        <f ca="1">'일자별 주가'!B189*'종목 기본정보'!B$2*'종목 기본정보'!B$3</f>
        <v>103905000000</v>
      </c>
      <c r="C189" s="8">
        <f ca="1">'일자별 주가'!C189*'종목 기본정보'!C$2*'종목 기본정보'!C$3</f>
        <v>130693500000</v>
      </c>
      <c r="D189" s="8">
        <f ca="1">'일자별 주가'!D189*'종목 기본정보'!D$2*'종목 기본정보'!D$3</f>
        <v>400717600000</v>
      </c>
      <c r="E189" s="8">
        <f ca="1">'일자별 주가'!E189*'종목 기본정보'!E$2*'종목 기본정보'!E$3</f>
        <v>80750560000</v>
      </c>
      <c r="F189" s="8">
        <f ca="1">'일자별 주가'!F189*'종목 기본정보'!F$2*'종목 기본정보'!F$3</f>
        <v>669007000000</v>
      </c>
      <c r="G189" s="9">
        <f t="shared" ca="1" si="4"/>
        <v>1385073660000</v>
      </c>
      <c r="H189" s="10">
        <f t="shared" ca="1" si="5"/>
        <v>111.25089638554218</v>
      </c>
    </row>
    <row r="190" spans="1:8" x14ac:dyDescent="0.3">
      <c r="A190" s="1">
        <v>189</v>
      </c>
      <c r="B190" s="8">
        <f ca="1">'일자별 주가'!B190*'종목 기본정보'!B$2*'종목 기본정보'!B$3</f>
        <v>103815000000</v>
      </c>
      <c r="C190" s="8">
        <f ca="1">'일자별 주가'!C190*'종목 기본정보'!C$2*'종목 기본정보'!C$3</f>
        <v>128515500000</v>
      </c>
      <c r="D190" s="8">
        <f ca="1">'일자별 주가'!D190*'종목 기본정보'!D$2*'종목 기본정보'!D$3</f>
        <v>391976400000</v>
      </c>
      <c r="E190" s="8">
        <f ca="1">'일자별 주가'!E190*'종목 기본정보'!E$2*'종목 기본정보'!E$3</f>
        <v>79068000000</v>
      </c>
      <c r="F190" s="8">
        <f ca="1">'일자별 주가'!F190*'종목 기본정보'!F$2*'종목 기본정보'!F$3</f>
        <v>649916000000</v>
      </c>
      <c r="G190" s="9">
        <f t="shared" ca="1" si="4"/>
        <v>1353290900000</v>
      </c>
      <c r="H190" s="10">
        <f t="shared" ca="1" si="5"/>
        <v>108.69806425702811</v>
      </c>
    </row>
    <row r="191" spans="1:8" x14ac:dyDescent="0.3">
      <c r="A191" s="1">
        <v>190</v>
      </c>
      <c r="B191" s="8">
        <f ca="1">'일자별 주가'!B191*'종목 기본정보'!B$2*'종목 기본정보'!B$3</f>
        <v>103665000000</v>
      </c>
      <c r="C191" s="8">
        <f ca="1">'일자별 주가'!C191*'종목 기본정보'!C$2*'종목 기본정보'!C$3</f>
        <v>125941500000</v>
      </c>
      <c r="D191" s="8">
        <f ca="1">'일자별 주가'!D191*'종목 기본정보'!D$2*'종목 기본정보'!D$3</f>
        <v>387712400000</v>
      </c>
      <c r="E191" s="8">
        <f ca="1">'일자별 주가'!E191*'종목 기본정보'!E$2*'종목 기본정보'!E$3</f>
        <v>81392960000</v>
      </c>
      <c r="F191" s="8">
        <f ca="1">'일자별 주가'!F191*'종목 기본정보'!F$2*'종목 기본정보'!F$3</f>
        <v>668458500000</v>
      </c>
      <c r="G191" s="9">
        <f t="shared" ca="1" si="4"/>
        <v>1367170360000</v>
      </c>
      <c r="H191" s="10">
        <f t="shared" ca="1" si="5"/>
        <v>109.81288032128514</v>
      </c>
    </row>
    <row r="192" spans="1:8" x14ac:dyDescent="0.3">
      <c r="A192" s="1">
        <v>191</v>
      </c>
      <c r="B192" s="8">
        <f ca="1">'일자별 주가'!B192*'종목 기본정보'!B$2*'종목 기본정보'!B$3</f>
        <v>104032500000</v>
      </c>
      <c r="C192" s="8">
        <f ca="1">'일자별 주가'!C192*'종목 기본정보'!C$2*'종목 기본정보'!C$3</f>
        <v>127849500000</v>
      </c>
      <c r="D192" s="8">
        <f ca="1">'일자별 주가'!D192*'종목 기본정보'!D$2*'종목 기본정보'!D$3</f>
        <v>391550000000</v>
      </c>
      <c r="E192" s="8">
        <f ca="1">'일자별 주가'!E192*'종목 기본정보'!E$2*'종목 기본정보'!E$3</f>
        <v>83614960000</v>
      </c>
      <c r="F192" s="8">
        <f ca="1">'일자별 주가'!F192*'종목 기본정보'!F$2*'종목 기본정보'!F$3</f>
        <v>684760000000</v>
      </c>
      <c r="G192" s="9">
        <f t="shared" ca="1" si="4"/>
        <v>1391806960000</v>
      </c>
      <c r="H192" s="10">
        <f t="shared" ca="1" si="5"/>
        <v>111.79172369477912</v>
      </c>
    </row>
    <row r="193" spans="1:8" x14ac:dyDescent="0.3">
      <c r="A193" s="1">
        <v>192</v>
      </c>
      <c r="B193" s="8">
        <f ca="1">'일자별 주가'!B193*'종목 기본정보'!B$2*'종목 기본정보'!B$3</f>
        <v>104722500000</v>
      </c>
      <c r="C193" s="8">
        <f ca="1">'일자별 주가'!C193*'종목 기본정보'!C$2*'종목 기본정보'!C$3</f>
        <v>127557000000</v>
      </c>
      <c r="D193" s="8">
        <f ca="1">'일자별 주가'!D193*'종목 기본정보'!D$2*'종목 기본정보'!D$3</f>
        <v>387958400000</v>
      </c>
      <c r="E193" s="8">
        <f ca="1">'일자별 주가'!E193*'종목 기본정보'!E$2*'종목 기본정보'!E$3</f>
        <v>81402640000</v>
      </c>
      <c r="F193" s="8">
        <f ca="1">'일자별 주가'!F193*'종목 기본정보'!F$2*'종목 기본정보'!F$3</f>
        <v>694652000000</v>
      </c>
      <c r="G193" s="9">
        <f t="shared" ca="1" si="4"/>
        <v>1396292540000</v>
      </c>
      <c r="H193" s="10">
        <f t="shared" ca="1" si="5"/>
        <v>112.15201124497992</v>
      </c>
    </row>
    <row r="194" spans="1:8" x14ac:dyDescent="0.3">
      <c r="A194" s="1">
        <v>193</v>
      </c>
      <c r="B194" s="8">
        <f ca="1">'일자별 주가'!B194*'종목 기본정보'!B$2*'종목 기본정보'!B$3</f>
        <v>105817500000</v>
      </c>
      <c r="C194" s="8">
        <f ca="1">'일자별 주가'!C194*'종목 기본정보'!C$2*'종목 기본정보'!C$3</f>
        <v>127485000000</v>
      </c>
      <c r="D194" s="8">
        <f ca="1">'일자별 주가'!D194*'종목 기본정보'!D$2*'종목 기본정보'!D$3</f>
        <v>387745200000</v>
      </c>
      <c r="E194" s="8">
        <f ca="1">'일자별 주가'!E194*'종목 기본정보'!E$2*'종목 기본정보'!E$3</f>
        <v>79067120000</v>
      </c>
      <c r="F194" s="8">
        <f ca="1">'일자별 주가'!F194*'종목 기본정보'!F$2*'종목 기본정보'!F$3</f>
        <v>685231000000</v>
      </c>
      <c r="G194" s="9">
        <f t="shared" ca="1" si="4"/>
        <v>1385345820000</v>
      </c>
      <c r="H194" s="10">
        <f t="shared" ca="1" si="5"/>
        <v>111.27275662650602</v>
      </c>
    </row>
    <row r="195" spans="1:8" x14ac:dyDescent="0.3">
      <c r="A195" s="1">
        <v>194</v>
      </c>
      <c r="B195" s="8">
        <f ca="1">'일자별 주가'!B195*'종목 기본정보'!B$2*'종목 기본정보'!B$3</f>
        <v>107947500000</v>
      </c>
      <c r="C195" s="8">
        <f ca="1">'일자별 주가'!C195*'종목 기본정보'!C$2*'종목 기본정보'!C$3</f>
        <v>130018500000</v>
      </c>
      <c r="D195" s="8">
        <f ca="1">'일자별 주가'!D195*'종목 기본정보'!D$2*'종목 기본정보'!D$3</f>
        <v>399717200000</v>
      </c>
      <c r="E195" s="8">
        <f ca="1">'일자별 주가'!E195*'종목 기본정보'!E$2*'종목 기본정보'!E$3</f>
        <v>80190000000</v>
      </c>
      <c r="F195" s="8">
        <f ca="1">'일자별 주가'!F195*'종목 기본정보'!F$2*'종목 기본정보'!F$3</f>
        <v>685563500000</v>
      </c>
      <c r="G195" s="9">
        <f t="shared" ref="G195:G253" ca="1" si="6">SUM(B195:F195)</f>
        <v>1403436700000</v>
      </c>
      <c r="H195" s="10">
        <f t="shared" ref="H195:H253" ca="1" si="7">G195/G$2*100</f>
        <v>112.72583935742972</v>
      </c>
    </row>
    <row r="196" spans="1:8" x14ac:dyDescent="0.3">
      <c r="A196" s="1">
        <v>195</v>
      </c>
      <c r="B196" s="8">
        <f ca="1">'일자별 주가'!B196*'종목 기본정보'!B$2*'종목 기본정보'!B$3</f>
        <v>109320000000</v>
      </c>
      <c r="C196" s="8">
        <f ca="1">'일자별 주가'!C196*'종목 기본정보'!C$2*'종목 기본정보'!C$3</f>
        <v>128218500000</v>
      </c>
      <c r="D196" s="8">
        <f ca="1">'일자별 주가'!D196*'종목 기본정보'!D$2*'종목 기본정보'!D$3</f>
        <v>388302800000</v>
      </c>
      <c r="E196" s="8">
        <f ca="1">'일자별 주가'!E196*'종목 기본정보'!E$2*'종목 기본정보'!E$3</f>
        <v>82775440000</v>
      </c>
      <c r="F196" s="8">
        <f ca="1">'일자별 주가'!F196*'종목 기본정보'!F$2*'종목 기본정보'!F$3</f>
        <v>673410500000</v>
      </c>
      <c r="G196" s="9">
        <f t="shared" ca="1" si="6"/>
        <v>1382027240000</v>
      </c>
      <c r="H196" s="10">
        <f t="shared" ca="1" si="7"/>
        <v>111.00620401606425</v>
      </c>
    </row>
    <row r="197" spans="1:8" x14ac:dyDescent="0.3">
      <c r="A197" s="1">
        <v>196</v>
      </c>
      <c r="B197" s="8">
        <f ca="1">'일자별 주가'!B197*'종목 기본정보'!B$2*'종목 기본정보'!B$3</f>
        <v>112275000000</v>
      </c>
      <c r="C197" s="8">
        <f ca="1">'일자별 주가'!C197*'종목 기본정보'!C$2*'종목 기본정보'!C$3</f>
        <v>131319000000</v>
      </c>
      <c r="D197" s="8">
        <f ca="1">'일자별 주가'!D197*'종목 기본정보'!D$2*'종목 기본정보'!D$3</f>
        <v>377019600000</v>
      </c>
      <c r="E197" s="8">
        <f ca="1">'일자별 주가'!E197*'종목 기본정보'!E$2*'종목 기본정보'!E$3</f>
        <v>81075280000</v>
      </c>
      <c r="F197" s="8">
        <f ca="1">'일자별 주가'!F197*'종목 기본정보'!F$2*'종목 기본정보'!F$3</f>
        <v>669974500000</v>
      </c>
      <c r="G197" s="9">
        <f t="shared" ca="1" si="6"/>
        <v>1371663380000</v>
      </c>
      <c r="H197" s="10">
        <f t="shared" ca="1" si="7"/>
        <v>110.17376546184738</v>
      </c>
    </row>
    <row r="198" spans="1:8" x14ac:dyDescent="0.3">
      <c r="A198" s="1">
        <v>197</v>
      </c>
      <c r="B198" s="8">
        <f ca="1">'일자별 주가'!B198*'종목 기본정보'!B$2*'종목 기본정보'!B$3</f>
        <v>110377500000</v>
      </c>
      <c r="C198" s="8">
        <f ca="1">'일자별 주가'!C198*'종목 기본정보'!C$2*'종목 기본정보'!C$3</f>
        <v>134442000000</v>
      </c>
      <c r="D198" s="8">
        <f ca="1">'일자별 주가'!D198*'종목 기본정보'!D$2*'종목 기본정보'!D$3</f>
        <v>389368800000</v>
      </c>
      <c r="E198" s="8">
        <f ca="1">'일자별 주가'!E198*'종목 기본정보'!E$2*'종목 기본정보'!E$3</f>
        <v>81796880000</v>
      </c>
      <c r="F198" s="8">
        <f ca="1">'일자별 주가'!F198*'종목 기본정보'!F$2*'종목 기본정보'!F$3</f>
        <v>657625000000</v>
      </c>
      <c r="G198" s="9">
        <f t="shared" ca="1" si="6"/>
        <v>1373610180000</v>
      </c>
      <c r="H198" s="10">
        <f t="shared" ca="1" si="7"/>
        <v>110.33013493975903</v>
      </c>
    </row>
    <row r="199" spans="1:8" x14ac:dyDescent="0.3">
      <c r="A199" s="1">
        <v>198</v>
      </c>
      <c r="B199" s="8">
        <f ca="1">'일자별 주가'!B199*'종목 기본정보'!B$2*'종목 기본정보'!B$3</f>
        <v>111855000000</v>
      </c>
      <c r="C199" s="8">
        <f ca="1">'일자별 주가'!C199*'종목 기본정보'!C$2*'종목 기본정보'!C$3</f>
        <v>136444500000</v>
      </c>
      <c r="D199" s="8">
        <f ca="1">'일자별 주가'!D199*'종목 기본정보'!D$2*'종목 기본정보'!D$3</f>
        <v>383464800000</v>
      </c>
      <c r="E199" s="8">
        <f ca="1">'일자별 주가'!E199*'종목 기본정보'!E$2*'종목 기본정보'!E$3</f>
        <v>80575440000</v>
      </c>
      <c r="F199" s="8">
        <f ca="1">'일자별 주가'!F199*'종목 기본정보'!F$2*'종목 기본정보'!F$3</f>
        <v>641452500000</v>
      </c>
      <c r="G199" s="9">
        <f t="shared" ca="1" si="6"/>
        <v>1353792240000</v>
      </c>
      <c r="H199" s="10">
        <f t="shared" ca="1" si="7"/>
        <v>108.73833253012049</v>
      </c>
    </row>
    <row r="200" spans="1:8" x14ac:dyDescent="0.3">
      <c r="A200" s="1">
        <v>199</v>
      </c>
      <c r="B200" s="8">
        <f ca="1">'일자별 주가'!B200*'종목 기본정보'!B$2*'종목 기본정보'!B$3</f>
        <v>114360000000</v>
      </c>
      <c r="C200" s="8">
        <f ca="1">'일자별 주가'!C200*'종목 기본정보'!C$2*'종목 기본정보'!C$3</f>
        <v>138006000000</v>
      </c>
      <c r="D200" s="8">
        <f ca="1">'일자별 주가'!D200*'종목 기본정보'!D$2*'종목 기본정보'!D$3</f>
        <v>393747600000</v>
      </c>
      <c r="E200" s="8">
        <f ca="1">'일자별 주가'!E200*'종목 기본정보'!E$2*'종목 기본정보'!E$3</f>
        <v>79557280000</v>
      </c>
      <c r="F200" s="8">
        <f ca="1">'일자별 주가'!F200*'종목 기본정보'!F$2*'종목 기본정보'!F$3</f>
        <v>642739000000</v>
      </c>
      <c r="G200" s="9">
        <f t="shared" ca="1" si="6"/>
        <v>1368409880000</v>
      </c>
      <c r="H200" s="10">
        <f t="shared" ca="1" si="7"/>
        <v>109.91244016064256</v>
      </c>
    </row>
    <row r="201" spans="1:8" x14ac:dyDescent="0.3">
      <c r="A201" s="1">
        <v>200</v>
      </c>
      <c r="B201" s="8">
        <f ca="1">'일자별 주가'!B201*'종목 기본정보'!B$2*'종목 기본정보'!B$3</f>
        <v>116047500000</v>
      </c>
      <c r="C201" s="8">
        <f ca="1">'일자별 주가'!C201*'종목 기본정보'!C$2*'종목 기본정보'!C$3</f>
        <v>141142500000</v>
      </c>
      <c r="D201" s="8">
        <f ca="1">'일자별 주가'!D201*'종목 기본정보'!D$2*'종목 기본정보'!D$3</f>
        <v>386088800000</v>
      </c>
      <c r="E201" s="8">
        <f ca="1">'일자별 주가'!E201*'종목 기본정보'!E$2*'종목 기본정보'!E$3</f>
        <v>78713360000</v>
      </c>
      <c r="F201" s="8">
        <f ca="1">'일자별 주가'!F201*'종목 기본정보'!F$2*'종목 기본정보'!F$3</f>
        <v>644967500000</v>
      </c>
      <c r="G201" s="9">
        <f t="shared" ca="1" si="6"/>
        <v>1366959660000</v>
      </c>
      <c r="H201" s="10">
        <f t="shared" ca="1" si="7"/>
        <v>109.79595662650603</v>
      </c>
    </row>
    <row r="202" spans="1:8" x14ac:dyDescent="0.3">
      <c r="A202" s="1">
        <v>201</v>
      </c>
      <c r="B202" s="8">
        <f ca="1">'일자별 주가'!B202*'종목 기본정보'!B$2*'종목 기본정보'!B$3</f>
        <v>113752500000</v>
      </c>
      <c r="C202" s="8">
        <f ca="1">'일자별 주가'!C202*'종목 기본정보'!C$2*'종목 기본정보'!C$3</f>
        <v>142056000000</v>
      </c>
      <c r="D202" s="8">
        <f ca="1">'일자별 주가'!D202*'종목 기본정보'!D$2*'종목 기본정보'!D$3</f>
        <v>384842400000</v>
      </c>
      <c r="E202" s="8">
        <f ca="1">'일자별 주가'!E202*'종목 기본정보'!E$2*'종목 기본정보'!E$3</f>
        <v>77587840000</v>
      </c>
      <c r="F202" s="8">
        <f ca="1">'일자별 주가'!F202*'종목 기본정보'!F$2*'종목 기본정보'!F$3</f>
        <v>657074500000</v>
      </c>
      <c r="G202" s="9">
        <f t="shared" ca="1" si="6"/>
        <v>1375313240000</v>
      </c>
      <c r="H202" s="10">
        <f t="shared" ca="1" si="7"/>
        <v>110.46692690763051</v>
      </c>
    </row>
    <row r="203" spans="1:8" x14ac:dyDescent="0.3">
      <c r="A203" s="1">
        <v>202</v>
      </c>
      <c r="B203" s="8">
        <f ca="1">'일자별 주가'!B203*'종목 기본정보'!B$2*'종목 기본정보'!B$3</f>
        <v>116272500000</v>
      </c>
      <c r="C203" s="8">
        <f ca="1">'일자별 주가'!C203*'종목 기본정보'!C$2*'종목 기본정보'!C$3</f>
        <v>140152500000</v>
      </c>
      <c r="D203" s="8">
        <f ca="1">'일자별 주가'!D203*'종목 기본정보'!D$2*'종목 기본정보'!D$3</f>
        <v>393550800000</v>
      </c>
      <c r="E203" s="8">
        <f ca="1">'일자별 주가'!E203*'종목 기본정보'!E$2*'종목 기본정보'!E$3</f>
        <v>75678240000</v>
      </c>
      <c r="F203" s="8">
        <f ca="1">'일자별 주가'!F203*'종목 기본정보'!F$2*'종목 기본정보'!F$3</f>
        <v>650314000000</v>
      </c>
      <c r="G203" s="9">
        <f t="shared" ca="1" si="6"/>
        <v>1375968040000</v>
      </c>
      <c r="H203" s="10">
        <f t="shared" ca="1" si="7"/>
        <v>110.51952128514056</v>
      </c>
    </row>
    <row r="204" spans="1:8" x14ac:dyDescent="0.3">
      <c r="A204" s="1">
        <v>203</v>
      </c>
      <c r="B204" s="8">
        <f ca="1">'일자별 주가'!B204*'종목 기본정보'!B$2*'종목 기본정보'!B$3</f>
        <v>113797500000</v>
      </c>
      <c r="C204" s="8">
        <f ca="1">'일자별 주가'!C204*'종목 기본정보'!C$2*'종목 기본정보'!C$3</f>
        <v>142425000000</v>
      </c>
      <c r="D204" s="8">
        <f ca="1">'일자별 주가'!D204*'종목 기본정보'!D$2*'종목 기본정보'!D$3</f>
        <v>395305600000</v>
      </c>
      <c r="E204" s="8">
        <f ca="1">'일자별 주가'!E204*'종목 기본정보'!E$2*'종목 기본정보'!E$3</f>
        <v>75048160000</v>
      </c>
      <c r="F204" s="8">
        <f ca="1">'일자별 주가'!F204*'종목 기본정보'!F$2*'종목 기본정보'!F$3</f>
        <v>648177000000</v>
      </c>
      <c r="G204" s="9">
        <f t="shared" ca="1" si="6"/>
        <v>1374753260000</v>
      </c>
      <c r="H204" s="10">
        <f t="shared" ca="1" si="7"/>
        <v>110.42194859437751</v>
      </c>
    </row>
    <row r="205" spans="1:8" x14ac:dyDescent="0.3">
      <c r="A205" s="1">
        <v>204</v>
      </c>
      <c r="B205" s="8">
        <f ca="1">'일자별 주가'!B205*'종목 기본정보'!B$2*'종목 기본정보'!B$3</f>
        <v>114262500000</v>
      </c>
      <c r="C205" s="8">
        <f ca="1">'일자별 주가'!C205*'종목 기본정보'!C$2*'종목 기본정보'!C$3</f>
        <v>141052500000</v>
      </c>
      <c r="D205" s="8">
        <f ca="1">'일자별 주가'!D205*'종목 기본정보'!D$2*'종목 기본정보'!D$3</f>
        <v>395108800000</v>
      </c>
      <c r="E205" s="8">
        <f ca="1">'일자별 주가'!E205*'종목 기본정보'!E$2*'종목 기본정보'!E$3</f>
        <v>76105920000</v>
      </c>
      <c r="F205" s="8">
        <f ca="1">'일자별 주가'!F205*'종목 기본정보'!F$2*'종목 기본정보'!F$3</f>
        <v>669104500000</v>
      </c>
      <c r="G205" s="9">
        <f t="shared" ca="1" si="6"/>
        <v>1395634220000</v>
      </c>
      <c r="H205" s="10">
        <f t="shared" ca="1" si="7"/>
        <v>112.09913413654617</v>
      </c>
    </row>
    <row r="206" spans="1:8" x14ac:dyDescent="0.3">
      <c r="A206" s="1">
        <v>205</v>
      </c>
      <c r="B206" s="8">
        <f ca="1">'일자별 주가'!B206*'종목 기본정보'!B$2*'종목 기본정보'!B$3</f>
        <v>111510000000</v>
      </c>
      <c r="C206" s="8">
        <f ca="1">'일자별 주가'!C206*'종목 기본정보'!C$2*'종목 기본정보'!C$3</f>
        <v>141021000000</v>
      </c>
      <c r="D206" s="8">
        <f ca="1">'일자별 주가'!D206*'종목 기본정보'!D$2*'종목 기본정보'!D$3</f>
        <v>388237200000</v>
      </c>
      <c r="E206" s="8">
        <f ca="1">'일자별 주가'!E206*'종목 기본정보'!E$2*'종목 기본정보'!E$3</f>
        <v>78108800000</v>
      </c>
      <c r="F206" s="8">
        <f ca="1">'일자별 주가'!F206*'종목 기본정보'!F$2*'종목 기본정보'!F$3</f>
        <v>688888000000</v>
      </c>
      <c r="G206" s="9">
        <f t="shared" ca="1" si="6"/>
        <v>1407765000000</v>
      </c>
      <c r="H206" s="10">
        <f t="shared" ca="1" si="7"/>
        <v>113.0734939759036</v>
      </c>
    </row>
    <row r="207" spans="1:8" x14ac:dyDescent="0.3">
      <c r="A207" s="1">
        <v>206</v>
      </c>
      <c r="B207" s="8">
        <f ca="1">'일자별 주가'!B207*'종목 기본정보'!B$2*'종목 기본정보'!B$3</f>
        <v>113085000000</v>
      </c>
      <c r="C207" s="8">
        <f ca="1">'일자별 주가'!C207*'종목 기본정보'!C$2*'종목 기본정보'!C$3</f>
        <v>142803000000</v>
      </c>
      <c r="D207" s="8">
        <f ca="1">'일자별 주가'!D207*'종목 기본정보'!D$2*'종목 기본정보'!D$3</f>
        <v>394305200000</v>
      </c>
      <c r="E207" s="8">
        <f ca="1">'일자별 주가'!E207*'종목 기본정보'!E$2*'종목 기본정보'!E$3</f>
        <v>80193520000</v>
      </c>
      <c r="F207" s="8">
        <f ca="1">'일자별 주가'!F207*'종목 기본정보'!F$2*'종목 기본정보'!F$3</f>
        <v>697134000000</v>
      </c>
      <c r="G207" s="9">
        <f t="shared" ca="1" si="6"/>
        <v>1427520720000</v>
      </c>
      <c r="H207" s="10">
        <f t="shared" ca="1" si="7"/>
        <v>114.66029879518072</v>
      </c>
    </row>
    <row r="208" spans="1:8" x14ac:dyDescent="0.3">
      <c r="A208" s="1">
        <v>207</v>
      </c>
      <c r="B208" s="8">
        <f ca="1">'일자별 주가'!B208*'종목 기본정보'!B$2*'종목 기본정보'!B$3</f>
        <v>114420000000</v>
      </c>
      <c r="C208" s="8">
        <f ca="1">'일자별 주가'!C208*'종목 기본정보'!C$2*'종목 기본정보'!C$3</f>
        <v>145377000000</v>
      </c>
      <c r="D208" s="8">
        <f ca="1">'일자별 주가'!D208*'종목 기본정보'!D$2*'종목 기본정보'!D$3</f>
        <v>398831600000</v>
      </c>
      <c r="E208" s="8">
        <f ca="1">'일자별 주가'!E208*'종목 기본정보'!E$2*'종목 기본정보'!E$3</f>
        <v>78482800000</v>
      </c>
      <c r="F208" s="8">
        <f ca="1">'일자별 주가'!F208*'종목 기본정보'!F$2*'종목 기본정보'!F$3</f>
        <v>702267000000</v>
      </c>
      <c r="G208" s="9">
        <f t="shared" ca="1" si="6"/>
        <v>1439378400000</v>
      </c>
      <c r="H208" s="10">
        <f t="shared" ca="1" si="7"/>
        <v>115.61272289156625</v>
      </c>
    </row>
    <row r="209" spans="1:8" x14ac:dyDescent="0.3">
      <c r="A209" s="1">
        <v>208</v>
      </c>
      <c r="B209" s="8">
        <f ca="1">'일자별 주가'!B209*'종목 기본정보'!B$2*'종목 기본정보'!B$3</f>
        <v>112747500000</v>
      </c>
      <c r="C209" s="8">
        <f ca="1">'일자별 주가'!C209*'종목 기본정보'!C$2*'종목 기본정보'!C$3</f>
        <v>145908000000</v>
      </c>
      <c r="D209" s="8">
        <f ca="1">'일자별 주가'!D209*'종목 기본정보'!D$2*'종목 기본정보'!D$3</f>
        <v>387810800000</v>
      </c>
      <c r="E209" s="8">
        <f ca="1">'일자별 주가'!E209*'종목 기본정보'!E$2*'종목 기본정보'!E$3</f>
        <v>76393680000</v>
      </c>
      <c r="F209" s="8">
        <f ca="1">'일자별 주가'!F209*'종목 기본정보'!F$2*'종목 기본정보'!F$3</f>
        <v>719852500000</v>
      </c>
      <c r="G209" s="9">
        <f t="shared" ca="1" si="6"/>
        <v>1442712480000</v>
      </c>
      <c r="H209" s="10">
        <f t="shared" ca="1" si="7"/>
        <v>115.88052048192772</v>
      </c>
    </row>
    <row r="210" spans="1:8" x14ac:dyDescent="0.3">
      <c r="A210" s="1">
        <v>209</v>
      </c>
      <c r="B210" s="8">
        <f ca="1">'일자별 주가'!B210*'종목 기본정보'!B$2*'종목 기본정보'!B$3</f>
        <v>111630000000</v>
      </c>
      <c r="C210" s="8">
        <f ca="1">'일자별 주가'!C210*'종목 기본정보'!C$2*'종목 기본정보'!C$3</f>
        <v>150705000000</v>
      </c>
      <c r="D210" s="8">
        <f ca="1">'일자별 주가'!D210*'종목 기본정보'!D$2*'종목 기본정보'!D$3</f>
        <v>381939600000</v>
      </c>
      <c r="E210" s="8">
        <f ca="1">'일자별 주가'!E210*'종목 기본정보'!E$2*'종목 기본정보'!E$3</f>
        <v>75601680000</v>
      </c>
      <c r="F210" s="8">
        <f ca="1">'일자별 주가'!F210*'종목 기본정보'!F$2*'종목 기본정보'!F$3</f>
        <v>717102000000</v>
      </c>
      <c r="G210" s="9">
        <f t="shared" ca="1" si="6"/>
        <v>1436978280000</v>
      </c>
      <c r="H210" s="10">
        <f t="shared" ca="1" si="7"/>
        <v>115.41994216867471</v>
      </c>
    </row>
    <row r="211" spans="1:8" x14ac:dyDescent="0.3">
      <c r="A211" s="1">
        <v>210</v>
      </c>
      <c r="B211" s="8">
        <f ca="1">'일자별 주가'!B211*'종목 기본정보'!B$2*'종목 기본정보'!B$3</f>
        <v>111630000000</v>
      </c>
      <c r="C211" s="8">
        <f ca="1">'일자별 주가'!C211*'종목 기본정보'!C$2*'종목 기본정보'!C$3</f>
        <v>146623500000</v>
      </c>
      <c r="D211" s="8">
        <f ca="1">'일자별 주가'!D211*'종목 기본정보'!D$2*'종목 기본정보'!D$3</f>
        <v>371952000000</v>
      </c>
      <c r="E211" s="8">
        <f ca="1">'일자별 주가'!E211*'종목 기본정보'!E$2*'종목 기본정보'!E$3</f>
        <v>76924320000</v>
      </c>
      <c r="F211" s="8">
        <f ca="1">'일자별 주가'!F211*'종목 기본정보'!F$2*'종목 기본정보'!F$3</f>
        <v>718377500000</v>
      </c>
      <c r="G211" s="9">
        <f t="shared" ca="1" si="6"/>
        <v>1425507320000</v>
      </c>
      <c r="H211" s="10">
        <f t="shared" ca="1" si="7"/>
        <v>114.49857991967872</v>
      </c>
    </row>
    <row r="212" spans="1:8" x14ac:dyDescent="0.3">
      <c r="A212" s="1">
        <v>211</v>
      </c>
      <c r="B212" s="8">
        <f ca="1">'일자별 주가'!B212*'종목 기본정보'!B$2*'종목 기본정보'!B$3</f>
        <v>110947500000</v>
      </c>
      <c r="C212" s="8">
        <f ca="1">'일자별 주가'!C212*'종목 기본정보'!C$2*'종목 기본정보'!C$3</f>
        <v>143221500000</v>
      </c>
      <c r="D212" s="8">
        <f ca="1">'일자별 주가'!D212*'종목 기본정보'!D$2*'종목 기본정보'!D$3</f>
        <v>368294800000</v>
      </c>
      <c r="E212" s="8">
        <f ca="1">'일자별 주가'!E212*'종목 기본정보'!E$2*'종목 기본정보'!E$3</f>
        <v>77132880000</v>
      </c>
      <c r="F212" s="8">
        <f ca="1">'일자별 주가'!F212*'종목 기본정보'!F$2*'종목 기본정보'!F$3</f>
        <v>716700500000</v>
      </c>
      <c r="G212" s="9">
        <f t="shared" ca="1" si="6"/>
        <v>1416297180000</v>
      </c>
      <c r="H212" s="10">
        <f t="shared" ca="1" si="7"/>
        <v>113.75880963855423</v>
      </c>
    </row>
    <row r="213" spans="1:8" x14ac:dyDescent="0.3">
      <c r="A213" s="1">
        <v>212</v>
      </c>
      <c r="B213" s="8">
        <f ca="1">'일자별 주가'!B213*'종목 기본정보'!B$2*'종목 기본정보'!B$3</f>
        <v>113265000000</v>
      </c>
      <c r="C213" s="8">
        <f ca="1">'일자별 주가'!C213*'종목 기본정보'!C$2*'종목 기본정보'!C$3</f>
        <v>140305500000</v>
      </c>
      <c r="D213" s="8">
        <f ca="1">'일자별 주가'!D213*'종목 기본정보'!D$2*'종목 기본정보'!D$3</f>
        <v>364260400000</v>
      </c>
      <c r="E213" s="8">
        <f ca="1">'일자별 주가'!E213*'종목 기본정보'!E$2*'종목 기본정보'!E$3</f>
        <v>77293920000</v>
      </c>
      <c r="F213" s="8">
        <f ca="1">'일자별 주가'!F213*'종목 기본정보'!F$2*'종목 기본정보'!F$3</f>
        <v>726266500000</v>
      </c>
      <c r="G213" s="9">
        <f t="shared" ca="1" si="6"/>
        <v>1421391320000</v>
      </c>
      <c r="H213" s="10">
        <f t="shared" ca="1" si="7"/>
        <v>114.16797751004015</v>
      </c>
    </row>
    <row r="214" spans="1:8" x14ac:dyDescent="0.3">
      <c r="A214" s="1">
        <v>213</v>
      </c>
      <c r="B214" s="8">
        <f ca="1">'일자별 주가'!B214*'종목 기본정보'!B$2*'종목 기본정보'!B$3</f>
        <v>116820000000</v>
      </c>
      <c r="C214" s="8">
        <f ca="1">'일자별 주가'!C214*'종목 기본정보'!C$2*'종목 기본정보'!C$3</f>
        <v>142506000000</v>
      </c>
      <c r="D214" s="8">
        <f ca="1">'일자별 주가'!D214*'종목 기본정보'!D$2*'종목 기본정보'!D$3</f>
        <v>362882800000</v>
      </c>
      <c r="E214" s="8">
        <f ca="1">'일자별 주가'!E214*'종목 기본정보'!E$2*'종목 기본정보'!E$3</f>
        <v>78738880000</v>
      </c>
      <c r="F214" s="8">
        <f ca="1">'일자별 주가'!F214*'종목 기본정보'!F$2*'종목 기본정보'!F$3</f>
        <v>737099500000</v>
      </c>
      <c r="G214" s="9">
        <f t="shared" ca="1" si="6"/>
        <v>1438047180000</v>
      </c>
      <c r="H214" s="10">
        <f t="shared" ca="1" si="7"/>
        <v>115.50579759036144</v>
      </c>
    </row>
    <row r="215" spans="1:8" x14ac:dyDescent="0.3">
      <c r="A215" s="1">
        <v>214</v>
      </c>
      <c r="B215" s="8">
        <f ca="1">'일자별 주가'!B215*'종목 기본정보'!B$2*'종목 기본정보'!B$3</f>
        <v>117127500000</v>
      </c>
      <c r="C215" s="8">
        <f ca="1">'일자별 주가'!C215*'종목 기본정보'!C$2*'종목 기본정보'!C$3</f>
        <v>142186500000</v>
      </c>
      <c r="D215" s="8">
        <f ca="1">'일자별 주가'!D215*'종목 기본정보'!D$2*'종목 기본정보'!D$3</f>
        <v>374822000000</v>
      </c>
      <c r="E215" s="8">
        <f ca="1">'일자별 주가'!E215*'종목 기본정보'!E$2*'종목 기본정보'!E$3</f>
        <v>76647120000</v>
      </c>
      <c r="F215" s="8">
        <f ca="1">'일자별 주가'!F215*'종목 기본정보'!F$2*'종목 기본정보'!F$3</f>
        <v>757159000000</v>
      </c>
      <c r="G215" s="9">
        <f t="shared" ca="1" si="6"/>
        <v>1467942120000</v>
      </c>
      <c r="H215" s="10">
        <f t="shared" ca="1" si="7"/>
        <v>117.90699759036146</v>
      </c>
    </row>
    <row r="216" spans="1:8" x14ac:dyDescent="0.3">
      <c r="A216" s="1">
        <v>215</v>
      </c>
      <c r="B216" s="8">
        <f ca="1">'일자별 주가'!B216*'종목 기본정보'!B$2*'종목 기본정보'!B$3</f>
        <v>118087500000</v>
      </c>
      <c r="C216" s="8">
        <f ca="1">'일자별 주가'!C216*'종목 기본정보'!C$2*'종목 기본정보'!C$3</f>
        <v>139117500000</v>
      </c>
      <c r="D216" s="8">
        <f ca="1">'일자별 주가'!D216*'종목 기본정보'!D$2*'종목 기본정보'!D$3</f>
        <v>374789200000</v>
      </c>
      <c r="E216" s="8">
        <f ca="1">'일자별 주가'!E216*'종목 기본정보'!E$2*'종목 기본정보'!E$3</f>
        <v>74513120000</v>
      </c>
      <c r="F216" s="8">
        <f ca="1">'일자별 주가'!F216*'종목 기본정보'!F$2*'종목 기본정보'!F$3</f>
        <v>761012000000</v>
      </c>
      <c r="G216" s="9">
        <f t="shared" ca="1" si="6"/>
        <v>1467519320000</v>
      </c>
      <c r="H216" s="10">
        <f t="shared" ca="1" si="7"/>
        <v>117.87303775100402</v>
      </c>
    </row>
    <row r="217" spans="1:8" x14ac:dyDescent="0.3">
      <c r="A217" s="1">
        <v>216</v>
      </c>
      <c r="B217" s="8">
        <f ca="1">'일자별 주가'!B217*'종목 기본정보'!B$2*'종목 기본정보'!B$3</f>
        <v>119257500000</v>
      </c>
      <c r="C217" s="8">
        <f ca="1">'일자별 주가'!C217*'종목 기본정보'!C$2*'종목 기본정보'!C$3</f>
        <v>142578000000</v>
      </c>
      <c r="D217" s="8">
        <f ca="1">'일자별 주가'!D217*'종목 기본정보'!D$2*'종목 기본정보'!D$3</f>
        <v>364932800000</v>
      </c>
      <c r="E217" s="8">
        <f ca="1">'일자별 주가'!E217*'종목 기본정보'!E$2*'종목 기본정보'!E$3</f>
        <v>72368560000</v>
      </c>
      <c r="F217" s="8">
        <f ca="1">'일자별 주가'!F217*'종목 기본정보'!F$2*'종목 기본정보'!F$3</f>
        <v>742765500000</v>
      </c>
      <c r="G217" s="9">
        <f t="shared" ca="1" si="6"/>
        <v>1441902360000</v>
      </c>
      <c r="H217" s="10">
        <f t="shared" ca="1" si="7"/>
        <v>115.81545060240963</v>
      </c>
    </row>
    <row r="218" spans="1:8" x14ac:dyDescent="0.3">
      <c r="A218" s="1">
        <v>217</v>
      </c>
      <c r="B218" s="8">
        <f ca="1">'일자별 주가'!B218*'종목 기본정보'!B$2*'종목 기본정보'!B$3</f>
        <v>117277500000</v>
      </c>
      <c r="C218" s="8">
        <f ca="1">'일자별 주가'!C218*'종목 기본정보'!C$2*'종목 기본정보'!C$3</f>
        <v>140904000000</v>
      </c>
      <c r="D218" s="8">
        <f ca="1">'일자별 주가'!D218*'종목 기본정보'!D$2*'종목 기본정보'!D$3</f>
        <v>367179600000</v>
      </c>
      <c r="E218" s="8">
        <f ca="1">'일자별 주가'!E218*'종목 기본정보'!E$2*'종목 기본정보'!E$3</f>
        <v>74631920000</v>
      </c>
      <c r="F218" s="8">
        <f ca="1">'일자별 주가'!F218*'종목 기본정보'!F$2*'종목 기본정보'!F$3</f>
        <v>759340000000</v>
      </c>
      <c r="G218" s="9">
        <f t="shared" ca="1" si="6"/>
        <v>1459333020000</v>
      </c>
      <c r="H218" s="10">
        <f t="shared" ca="1" si="7"/>
        <v>117.21550361445783</v>
      </c>
    </row>
    <row r="219" spans="1:8" x14ac:dyDescent="0.3">
      <c r="A219" s="1">
        <v>218</v>
      </c>
      <c r="B219" s="8">
        <f ca="1">'일자별 주가'!B219*'종목 기본정보'!B$2*'종목 기본정보'!B$3</f>
        <v>120810000000</v>
      </c>
      <c r="C219" s="8">
        <f ca="1">'일자별 주가'!C219*'종목 기본정보'!C$2*'종목 기본정보'!C$3</f>
        <v>136737000000</v>
      </c>
      <c r="D219" s="8">
        <f ca="1">'일자별 주가'!D219*'종목 기본정보'!D$2*'종목 기본정보'!D$3</f>
        <v>366507200000</v>
      </c>
      <c r="E219" s="8">
        <f ca="1">'일자별 주가'!E219*'종목 기본정보'!E$2*'종목 기본정보'!E$3</f>
        <v>74469120000</v>
      </c>
      <c r="F219" s="8">
        <f ca="1">'일자별 주가'!F219*'종목 기본정보'!F$2*'종목 기본정보'!F$3</f>
        <v>749339500000</v>
      </c>
      <c r="G219" s="9">
        <f t="shared" ca="1" si="6"/>
        <v>1447862820000</v>
      </c>
      <c r="H219" s="10">
        <f t="shared" ca="1" si="7"/>
        <v>116.29420240963854</v>
      </c>
    </row>
    <row r="220" spans="1:8" x14ac:dyDescent="0.3">
      <c r="A220" s="1">
        <v>219</v>
      </c>
      <c r="B220" s="8">
        <f ca="1">'일자별 주가'!B220*'종목 기본정보'!B$2*'종목 기본정보'!B$3</f>
        <v>117817500000</v>
      </c>
      <c r="C220" s="8">
        <f ca="1">'일자별 주가'!C220*'종목 기본정보'!C$2*'종목 기본정보'!C$3</f>
        <v>139234500000</v>
      </c>
      <c r="D220" s="8">
        <f ca="1">'일자별 주가'!D220*'종목 기본정보'!D$2*'종목 기본정보'!D$3</f>
        <v>356618000000</v>
      </c>
      <c r="E220" s="8">
        <f ca="1">'일자별 주가'!E220*'종목 기본정보'!E$2*'종목 기본정보'!E$3</f>
        <v>72594720000</v>
      </c>
      <c r="F220" s="8">
        <f ca="1">'일자별 주가'!F220*'종목 기본정보'!F$2*'종목 기본정보'!F$3</f>
        <v>772883000000</v>
      </c>
      <c r="G220" s="9">
        <f t="shared" ca="1" si="6"/>
        <v>1459147720000</v>
      </c>
      <c r="H220" s="10">
        <f t="shared" ca="1" si="7"/>
        <v>117.20062008032129</v>
      </c>
    </row>
    <row r="221" spans="1:8" x14ac:dyDescent="0.3">
      <c r="A221" s="1">
        <v>220</v>
      </c>
      <c r="B221" s="8">
        <f ca="1">'일자별 주가'!B221*'종목 기본정보'!B$2*'종목 기본정보'!B$3</f>
        <v>116782500000</v>
      </c>
      <c r="C221" s="8">
        <f ca="1">'일자별 주가'!C221*'종목 기본정보'!C$2*'종목 기본정보'!C$3</f>
        <v>138442500000</v>
      </c>
      <c r="D221" s="8">
        <f ca="1">'일자별 주가'!D221*'종목 기본정보'!D$2*'종목 기본정보'!D$3</f>
        <v>350648400000</v>
      </c>
      <c r="E221" s="8">
        <f ca="1">'일자별 주가'!E221*'종목 기본정보'!E$2*'종목 기본정보'!E$3</f>
        <v>71469200000</v>
      </c>
      <c r="F221" s="8">
        <f ca="1">'일자별 주가'!F221*'종목 기본정보'!F$2*'종목 기본정보'!F$3</f>
        <v>759446500000</v>
      </c>
      <c r="G221" s="9">
        <f t="shared" ca="1" si="6"/>
        <v>1436789100000</v>
      </c>
      <c r="H221" s="10">
        <f t="shared" ca="1" si="7"/>
        <v>115.4047469879518</v>
      </c>
    </row>
    <row r="222" spans="1:8" x14ac:dyDescent="0.3">
      <c r="A222" s="1">
        <v>221</v>
      </c>
      <c r="B222" s="8">
        <f ca="1">'일자별 주가'!B222*'종목 기본정보'!B$2*'종목 기본정보'!B$3</f>
        <v>119527500000</v>
      </c>
      <c r="C222" s="8">
        <f ca="1">'일자별 주가'!C222*'종목 기본정보'!C$2*'종목 기본정보'!C$3</f>
        <v>137169000000</v>
      </c>
      <c r="D222" s="8">
        <f ca="1">'일자별 주가'!D222*'종목 기본정보'!D$2*'종목 기본정보'!D$3</f>
        <v>344285200000</v>
      </c>
      <c r="E222" s="8">
        <f ca="1">'일자별 주가'!E222*'종목 기본정보'!E$2*'종목 기본정보'!E$3</f>
        <v>71771040000</v>
      </c>
      <c r="F222" s="8">
        <f ca="1">'일자별 주가'!F222*'종목 기본정보'!F$2*'종목 기본정보'!F$3</f>
        <v>740133500000</v>
      </c>
      <c r="G222" s="9">
        <f t="shared" ca="1" si="6"/>
        <v>1412886240000</v>
      </c>
      <c r="H222" s="10">
        <f t="shared" ca="1" si="7"/>
        <v>113.48483855421688</v>
      </c>
    </row>
    <row r="223" spans="1:8" x14ac:dyDescent="0.3">
      <c r="A223" s="1">
        <v>222</v>
      </c>
      <c r="B223" s="8">
        <f ca="1">'일자별 주가'!B223*'종목 기본정보'!B$2*'종목 기본정보'!B$3</f>
        <v>116272500000</v>
      </c>
      <c r="C223" s="8">
        <f ca="1">'일자별 주가'!C223*'종목 기본정보'!C$2*'종목 기본정보'!C$3</f>
        <v>133915500000</v>
      </c>
      <c r="D223" s="8">
        <f ca="1">'일자별 주가'!D223*'종목 기본정보'!D$2*'종목 기본정보'!D$3</f>
        <v>335937600000</v>
      </c>
      <c r="E223" s="8">
        <f ca="1">'일자별 주가'!E223*'종목 기본정보'!E$2*'종목 기본정보'!E$3</f>
        <v>71494720000</v>
      </c>
      <c r="F223" s="8">
        <f ca="1">'일자별 주가'!F223*'종목 기본정보'!F$2*'종목 기본정보'!F$3</f>
        <v>730888000000</v>
      </c>
      <c r="G223" s="9">
        <f t="shared" ca="1" si="6"/>
        <v>1388508320000</v>
      </c>
      <c r="H223" s="10">
        <f t="shared" ca="1" si="7"/>
        <v>111.52677269076305</v>
      </c>
    </row>
    <row r="224" spans="1:8" x14ac:dyDescent="0.3">
      <c r="A224" s="1">
        <v>223</v>
      </c>
      <c r="B224" s="8">
        <f ca="1">'일자별 주가'!B224*'종목 기본정보'!B$2*'종목 기본정보'!B$3</f>
        <v>120082500000</v>
      </c>
      <c r="C224" s="8">
        <f ca="1">'일자별 주가'!C224*'종목 기본정보'!C$2*'종목 기본정보'!C$3</f>
        <v>134523000000</v>
      </c>
      <c r="D224" s="8">
        <f ca="1">'일자별 주가'!D224*'종목 기본정보'!D$2*'종목 기본정보'!D$3</f>
        <v>344268800000</v>
      </c>
      <c r="E224" s="8">
        <f ca="1">'일자별 주가'!E224*'종목 기본정보'!E$2*'종목 기본정보'!E$3</f>
        <v>70831200000</v>
      </c>
      <c r="F224" s="8">
        <f ca="1">'일자별 주가'!F224*'종목 기본정보'!F$2*'종목 기본정보'!F$3</f>
        <v>709445000000</v>
      </c>
      <c r="G224" s="9">
        <f t="shared" ca="1" si="6"/>
        <v>1379150500000</v>
      </c>
      <c r="H224" s="10">
        <f t="shared" ca="1" si="7"/>
        <v>110.77514056224899</v>
      </c>
    </row>
    <row r="225" spans="1:8" x14ac:dyDescent="0.3">
      <c r="A225" s="1">
        <v>224</v>
      </c>
      <c r="B225" s="8">
        <f ca="1">'일자별 주가'!B225*'종목 기본정보'!B$2*'종목 기본정보'!B$3</f>
        <v>119130000000</v>
      </c>
      <c r="C225" s="8">
        <f ca="1">'일자별 주가'!C225*'종목 기본정보'!C$2*'종목 기본정보'!C$3</f>
        <v>131598000000</v>
      </c>
      <c r="D225" s="8">
        <f ca="1">'일자별 주가'!D225*'종목 기본정보'!D$2*'종목 기본정보'!D$3</f>
        <v>344875600000</v>
      </c>
      <c r="E225" s="8">
        <f ca="1">'일자별 주가'!E225*'종목 기본정보'!E$2*'종목 기본정보'!E$3</f>
        <v>68834480000</v>
      </c>
      <c r="F225" s="8">
        <f ca="1">'일자별 주가'!F225*'종목 기본정보'!F$2*'종목 기본정보'!F$3</f>
        <v>699422500000</v>
      </c>
      <c r="G225" s="9">
        <f t="shared" ca="1" si="6"/>
        <v>1363860580000</v>
      </c>
      <c r="H225" s="10">
        <f t="shared" ca="1" si="7"/>
        <v>109.54703453815262</v>
      </c>
    </row>
    <row r="226" spans="1:8" x14ac:dyDescent="0.3">
      <c r="A226" s="1">
        <v>225</v>
      </c>
      <c r="B226" s="8">
        <f ca="1">'일자별 주가'!B226*'종목 기본정보'!B$2*'종목 기본정보'!B$3</f>
        <v>116505000000</v>
      </c>
      <c r="C226" s="8">
        <f ca="1">'일자별 주가'!C226*'종목 기본정보'!C$2*'종목 기본정보'!C$3</f>
        <v>134905500000</v>
      </c>
      <c r="D226" s="8">
        <f ca="1">'일자별 주가'!D226*'종목 기본정보'!D$2*'종목 기본정보'!D$3</f>
        <v>337266000000</v>
      </c>
      <c r="E226" s="8">
        <f ca="1">'일자별 주가'!E226*'종목 기본정보'!E$2*'종목 기본정보'!E$3</f>
        <v>67715120000</v>
      </c>
      <c r="F226" s="8">
        <f ca="1">'일자별 주가'!F226*'종목 기본정보'!F$2*'종목 기본정보'!F$3</f>
        <v>706768500000</v>
      </c>
      <c r="G226" s="9">
        <f t="shared" ca="1" si="6"/>
        <v>1363160120000</v>
      </c>
      <c r="H226" s="10">
        <f t="shared" ca="1" si="7"/>
        <v>109.49077269076307</v>
      </c>
    </row>
    <row r="227" spans="1:8" x14ac:dyDescent="0.3">
      <c r="A227" s="1">
        <v>226</v>
      </c>
      <c r="B227" s="8">
        <f ca="1">'일자별 주가'!B227*'종목 기본정보'!B$2*'종목 기본정보'!B$3</f>
        <v>118732500000</v>
      </c>
      <c r="C227" s="8">
        <f ca="1">'일자별 주가'!C227*'종목 기본정보'!C$2*'종목 기본정보'!C$3</f>
        <v>136188000000</v>
      </c>
      <c r="D227" s="8">
        <f ca="1">'일자별 주가'!D227*'종목 기본정보'!D$2*'종목 기본정보'!D$3</f>
        <v>329082400000</v>
      </c>
      <c r="E227" s="8">
        <f ca="1">'일자별 주가'!E227*'종목 기본정보'!E$2*'종목 기본정보'!E$3</f>
        <v>69619440000</v>
      </c>
      <c r="F227" s="8">
        <f ca="1">'일자별 주가'!F227*'종목 기본정보'!F$2*'종목 기본정보'!F$3</f>
        <v>691724500000</v>
      </c>
      <c r="G227" s="9">
        <f t="shared" ca="1" si="6"/>
        <v>1345346840000</v>
      </c>
      <c r="H227" s="10">
        <f t="shared" ca="1" si="7"/>
        <v>108.05998714859437</v>
      </c>
    </row>
    <row r="228" spans="1:8" x14ac:dyDescent="0.3">
      <c r="A228" s="1">
        <v>227</v>
      </c>
      <c r="B228" s="8">
        <f ca="1">'일자별 주가'!B228*'종목 기본정보'!B$2*'종목 기본정보'!B$3</f>
        <v>120975000000</v>
      </c>
      <c r="C228" s="8">
        <f ca="1">'일자별 주가'!C228*'종목 기본정보'!C$2*'종목 기본정보'!C$3</f>
        <v>132642000000</v>
      </c>
      <c r="D228" s="8">
        <f ca="1">'일자별 주가'!D228*'종목 기본정보'!D$2*'종목 기본정보'!D$3</f>
        <v>321144800000</v>
      </c>
      <c r="E228" s="8">
        <f ca="1">'일자별 주가'!E228*'종목 기본정보'!E$2*'종목 기본정보'!E$3</f>
        <v>70884000000</v>
      </c>
      <c r="F228" s="8">
        <f ca="1">'일자별 주가'!F228*'종목 기본정보'!F$2*'종목 기본정보'!F$3</f>
        <v>671985500000</v>
      </c>
      <c r="G228" s="9">
        <f t="shared" ca="1" si="6"/>
        <v>1317631300000</v>
      </c>
      <c r="H228" s="10">
        <f t="shared" ca="1" si="7"/>
        <v>105.83383935742971</v>
      </c>
    </row>
    <row r="229" spans="1:8" x14ac:dyDescent="0.3">
      <c r="A229" s="1">
        <v>228</v>
      </c>
      <c r="B229" s="8">
        <f ca="1">'일자별 주가'!B229*'종목 기본정보'!B$2*'종목 기본정보'!B$3</f>
        <v>119130000000</v>
      </c>
      <c r="C229" s="8">
        <f ca="1">'일자별 주가'!C229*'종목 기본정보'!C$2*'종목 기본정보'!C$3</f>
        <v>133074000000</v>
      </c>
      <c r="D229" s="8">
        <f ca="1">'일자별 주가'!D229*'종목 기본정보'!D$2*'종목 기본정보'!D$3</f>
        <v>315519600000</v>
      </c>
      <c r="E229" s="8">
        <f ca="1">'일자별 주가'!E229*'종목 기본정보'!E$2*'종목 기본정보'!E$3</f>
        <v>71199920000</v>
      </c>
      <c r="F229" s="8">
        <f ca="1">'일자별 주가'!F229*'종목 기본정보'!F$2*'종목 기본정보'!F$3</f>
        <v>660733500000</v>
      </c>
      <c r="G229" s="9">
        <f t="shared" ca="1" si="6"/>
        <v>1299657020000</v>
      </c>
      <c r="H229" s="10">
        <f t="shared" ca="1" si="7"/>
        <v>104.39012208835341</v>
      </c>
    </row>
    <row r="230" spans="1:8" x14ac:dyDescent="0.3">
      <c r="A230" s="1">
        <v>229</v>
      </c>
      <c r="B230" s="8">
        <f ca="1">'일자별 주가'!B230*'종목 기본정보'!B$2*'종목 기본정보'!B$3</f>
        <v>122677500000</v>
      </c>
      <c r="C230" s="8">
        <f ca="1">'일자별 주가'!C230*'종목 기본정보'!C$2*'종목 기본정보'!C$3</f>
        <v>130194000000</v>
      </c>
      <c r="D230" s="8">
        <f ca="1">'일자별 주가'!D230*'종목 기본정보'!D$2*'종목 기본정보'!D$3</f>
        <v>319111200000</v>
      </c>
      <c r="E230" s="8">
        <f ca="1">'일자별 주가'!E230*'종목 기본정보'!E$2*'종목 기본정보'!E$3</f>
        <v>70389440000</v>
      </c>
      <c r="F230" s="8">
        <f ca="1">'일자별 주가'!F230*'종목 기본정보'!F$2*'종목 기본정보'!F$3</f>
        <v>643049000000</v>
      </c>
      <c r="G230" s="9">
        <f t="shared" ca="1" si="6"/>
        <v>1285421140000</v>
      </c>
      <c r="H230" s="10">
        <f t="shared" ca="1" si="7"/>
        <v>103.24667791164659</v>
      </c>
    </row>
    <row r="231" spans="1:8" x14ac:dyDescent="0.3">
      <c r="A231" s="1">
        <v>230</v>
      </c>
      <c r="B231" s="8">
        <f ca="1">'일자별 주가'!B231*'종목 기본정보'!B$2*'종목 기본정보'!B$3</f>
        <v>122340000000</v>
      </c>
      <c r="C231" s="8">
        <f ca="1">'일자별 주가'!C231*'종목 기본정보'!C$2*'종목 기본정보'!C$3</f>
        <v>134370000000</v>
      </c>
      <c r="D231" s="8">
        <f ca="1">'일자별 주가'!D231*'종목 기본정보'!D$2*'종목 기본정보'!D$3</f>
        <v>315716400000</v>
      </c>
      <c r="E231" s="8">
        <f ca="1">'일자별 주가'!E231*'종목 기본정보'!E$2*'종목 기본정보'!E$3</f>
        <v>69012240000</v>
      </c>
      <c r="F231" s="8">
        <f ca="1">'일자별 주가'!F231*'종목 기본정보'!F$2*'종목 기본정보'!F$3</f>
        <v>638763000000</v>
      </c>
      <c r="G231" s="9">
        <f t="shared" ca="1" si="6"/>
        <v>1280201640000</v>
      </c>
      <c r="H231" s="10">
        <f t="shared" ca="1" si="7"/>
        <v>102.82744096385544</v>
      </c>
    </row>
    <row r="232" spans="1:8" x14ac:dyDescent="0.3">
      <c r="A232" s="1">
        <v>231</v>
      </c>
      <c r="B232" s="8">
        <f ca="1">'일자별 주가'!B232*'종목 기본정보'!B$2*'종목 기본정보'!B$3</f>
        <v>123937500000</v>
      </c>
      <c r="C232" s="8">
        <f ca="1">'일자별 주가'!C232*'종목 기본정보'!C$2*'종목 기본정보'!C$3</f>
        <v>132538500000</v>
      </c>
      <c r="D232" s="8">
        <f ca="1">'일자별 주가'!D232*'종목 기본정보'!D$2*'종목 기본정보'!D$3</f>
        <v>318520800000</v>
      </c>
      <c r="E232" s="8">
        <f ca="1">'일자별 주가'!E232*'종목 기본정보'!E$2*'종목 기본정보'!E$3</f>
        <v>68318800000</v>
      </c>
      <c r="F232" s="8">
        <f ca="1">'일자별 주가'!F232*'종목 기본정보'!F$2*'종목 기본정보'!F$3</f>
        <v>622637500000</v>
      </c>
      <c r="G232" s="9">
        <f t="shared" ca="1" si="6"/>
        <v>1265953100000</v>
      </c>
      <c r="H232" s="10">
        <f t="shared" ca="1" si="7"/>
        <v>101.68297991967871</v>
      </c>
    </row>
    <row r="233" spans="1:8" x14ac:dyDescent="0.3">
      <c r="A233" s="1">
        <v>232</v>
      </c>
      <c r="B233" s="8">
        <f ca="1">'일자별 주가'!B233*'종목 기본정보'!B$2*'종목 기본정보'!B$3</f>
        <v>122820000000</v>
      </c>
      <c r="C233" s="8">
        <f ca="1">'일자별 주가'!C233*'종목 기본정보'!C$2*'종목 기본정보'!C$3</f>
        <v>134482500000</v>
      </c>
      <c r="D233" s="8">
        <f ca="1">'일자별 주가'!D233*'종목 기본정보'!D$2*'종목 기본정보'!D$3</f>
        <v>320177200000</v>
      </c>
      <c r="E233" s="8">
        <f ca="1">'일자별 주가'!E233*'종목 기본정보'!E$2*'종목 기본정보'!E$3</f>
        <v>66932800000</v>
      </c>
      <c r="F233" s="8">
        <f ca="1">'일자별 주가'!F233*'종목 기본정보'!F$2*'종목 기본정보'!F$3</f>
        <v>608188000000</v>
      </c>
      <c r="G233" s="9">
        <f t="shared" ca="1" si="6"/>
        <v>1252600500000</v>
      </c>
      <c r="H233" s="10">
        <f t="shared" ca="1" si="7"/>
        <v>100.61048192771085</v>
      </c>
    </row>
    <row r="234" spans="1:8" x14ac:dyDescent="0.3">
      <c r="A234" s="1">
        <v>233</v>
      </c>
      <c r="B234" s="8">
        <f ca="1">'일자별 주가'!B234*'종목 기본정보'!B$2*'종목 기본정보'!B$3</f>
        <v>126862500000</v>
      </c>
      <c r="C234" s="8">
        <f ca="1">'일자별 주가'!C234*'종목 기본정보'!C$2*'종목 기본정보'!C$3</f>
        <v>134829000000</v>
      </c>
      <c r="D234" s="8">
        <f ca="1">'일자별 주가'!D234*'종목 기본정보'!D$2*'종목 기본정보'!D$3</f>
        <v>317668000000</v>
      </c>
      <c r="E234" s="8">
        <f ca="1">'일자별 주가'!E234*'종목 기본정보'!E$2*'종목 기본정보'!E$3</f>
        <v>68510640000</v>
      </c>
      <c r="F234" s="8">
        <f ca="1">'일자별 주가'!F234*'종목 기본정보'!F$2*'종목 기본정보'!F$3</f>
        <v>623005000000</v>
      </c>
      <c r="G234" s="9">
        <f t="shared" ca="1" si="6"/>
        <v>1270875140000</v>
      </c>
      <c r="H234" s="10">
        <f t="shared" ca="1" si="7"/>
        <v>102.07832449799197</v>
      </c>
    </row>
    <row r="235" spans="1:8" x14ac:dyDescent="0.3">
      <c r="A235" s="1">
        <v>234</v>
      </c>
      <c r="B235" s="8">
        <f ca="1">'일자별 주가'!B235*'종목 기본정보'!B$2*'종목 기본정보'!B$3</f>
        <v>129832500000</v>
      </c>
      <c r="C235" s="8">
        <f ca="1">'일자별 주가'!C235*'종목 기본정보'!C$2*'종목 기본정보'!C$3</f>
        <v>132372000000</v>
      </c>
      <c r="D235" s="8">
        <f ca="1">'일자별 주가'!D235*'종목 기본정보'!D$2*'종목 기본정보'!D$3</f>
        <v>315322800000</v>
      </c>
      <c r="E235" s="8">
        <f ca="1">'일자별 주가'!E235*'종목 기본정보'!E$2*'종목 기본정보'!E$3</f>
        <v>68223760000</v>
      </c>
      <c r="F235" s="8">
        <f ca="1">'일자별 주가'!F235*'종목 기본정보'!F$2*'종목 기본정보'!F$3</f>
        <v>632265000000</v>
      </c>
      <c r="G235" s="9">
        <f t="shared" ca="1" si="6"/>
        <v>1278016060000</v>
      </c>
      <c r="H235" s="10">
        <f t="shared" ca="1" si="7"/>
        <v>102.65189236947792</v>
      </c>
    </row>
    <row r="236" spans="1:8" x14ac:dyDescent="0.3">
      <c r="A236" s="1">
        <v>235</v>
      </c>
      <c r="B236" s="8">
        <f ca="1">'일자별 주가'!B236*'종목 기본정보'!B$2*'종목 기본정보'!B$3</f>
        <v>126727500000</v>
      </c>
      <c r="C236" s="8">
        <f ca="1">'일자별 주가'!C236*'종목 기본정보'!C$2*'종목 기본정보'!C$3</f>
        <v>131355000000</v>
      </c>
      <c r="D236" s="8">
        <f ca="1">'일자별 주가'!D236*'종목 기본정보'!D$2*'종목 기본정보'!D$3</f>
        <v>310255200000</v>
      </c>
      <c r="E236" s="8">
        <f ca="1">'일자별 주가'!E236*'종목 기본정보'!E$2*'종목 기본정보'!E$3</f>
        <v>67033120000</v>
      </c>
      <c r="F236" s="8">
        <f ca="1">'일자별 주가'!F236*'종목 기본정보'!F$2*'종목 기본정보'!F$3</f>
        <v>620148500000</v>
      </c>
      <c r="G236" s="9">
        <f t="shared" ca="1" si="6"/>
        <v>1255519320000</v>
      </c>
      <c r="H236" s="10">
        <f t="shared" ca="1" si="7"/>
        <v>100.84492530120481</v>
      </c>
    </row>
    <row r="237" spans="1:8" x14ac:dyDescent="0.3">
      <c r="A237" s="1">
        <v>236</v>
      </c>
      <c r="B237" s="8">
        <f ca="1">'일자별 주가'!B237*'종목 기본정보'!B$2*'종목 기본정보'!B$3</f>
        <v>130440000000</v>
      </c>
      <c r="C237" s="8">
        <f ca="1">'일자별 주가'!C237*'종목 기본정보'!C$2*'종목 기본정보'!C$3</f>
        <v>134572500000</v>
      </c>
      <c r="D237" s="8">
        <f ca="1">'일자별 주가'!D237*'종목 기본정보'!D$2*'종목 기본정보'!D$3</f>
        <v>306368400000</v>
      </c>
      <c r="E237" s="8">
        <f ca="1">'일자별 주가'!E237*'종목 기본정보'!E$2*'종목 기본정보'!E$3</f>
        <v>68370720000</v>
      </c>
      <c r="F237" s="8">
        <f ca="1">'일자별 주가'!F237*'종목 기본정보'!F$2*'종목 기본정보'!F$3</f>
        <v>618442500000</v>
      </c>
      <c r="G237" s="9">
        <f t="shared" ca="1" si="6"/>
        <v>1258194120000</v>
      </c>
      <c r="H237" s="10">
        <f t="shared" ca="1" si="7"/>
        <v>101.05976867469879</v>
      </c>
    </row>
    <row r="238" spans="1:8" x14ac:dyDescent="0.3">
      <c r="A238" s="1">
        <v>237</v>
      </c>
      <c r="B238" s="8">
        <f ca="1">'일자별 주가'!B238*'종목 기본정보'!B$2*'종목 기본정보'!B$3</f>
        <v>130627500000</v>
      </c>
      <c r="C238" s="8">
        <f ca="1">'일자별 주가'!C238*'종목 기본정보'!C$2*'종목 기본정보'!C$3</f>
        <v>135184500000</v>
      </c>
      <c r="D238" s="8">
        <f ca="1">'일자별 주가'!D238*'종목 기본정보'!D$2*'종목 기본정보'!D$3</f>
        <v>303842800000</v>
      </c>
      <c r="E238" s="8">
        <f ca="1">'일자별 주가'!E238*'종목 기본정보'!E$2*'종목 기본정보'!E$3</f>
        <v>70500320000</v>
      </c>
      <c r="F238" s="8">
        <f ca="1">'일자별 주가'!F238*'종목 기본정보'!F$2*'종목 기본정보'!F$3</f>
        <v>606618000000</v>
      </c>
      <c r="G238" s="9">
        <f t="shared" ca="1" si="6"/>
        <v>1246773120000</v>
      </c>
      <c r="H238" s="10">
        <f t="shared" ca="1" si="7"/>
        <v>100.14241927710843</v>
      </c>
    </row>
    <row r="239" spans="1:8" x14ac:dyDescent="0.3">
      <c r="A239" s="1">
        <v>238</v>
      </c>
      <c r="B239" s="8">
        <f ca="1">'일자별 주가'!B239*'종목 기본정보'!B$2*'종목 기본정보'!B$3</f>
        <v>130087500000</v>
      </c>
      <c r="C239" s="8">
        <f ca="1">'일자별 주가'!C239*'종목 기본정보'!C$2*'종목 기본정보'!C$3</f>
        <v>134311500000</v>
      </c>
      <c r="D239" s="8">
        <f ca="1">'일자별 주가'!D239*'종목 기본정보'!D$2*'종목 기본정보'!D$3</f>
        <v>311698400000</v>
      </c>
      <c r="E239" s="8">
        <f ca="1">'일자별 주가'!E239*'종목 기본정보'!E$2*'종목 기본정보'!E$3</f>
        <v>69469840000</v>
      </c>
      <c r="F239" s="8">
        <f ca="1">'일자별 주가'!F239*'종목 기본정보'!F$2*'종목 기본정보'!F$3</f>
        <v>618987500000</v>
      </c>
      <c r="G239" s="9">
        <f t="shared" ca="1" si="6"/>
        <v>1264554740000</v>
      </c>
      <c r="H239" s="10">
        <f t="shared" ca="1" si="7"/>
        <v>101.57066184738956</v>
      </c>
    </row>
    <row r="240" spans="1:8" x14ac:dyDescent="0.3">
      <c r="A240" s="1">
        <v>239</v>
      </c>
      <c r="B240" s="8">
        <f ca="1">'일자별 주가'!B240*'종목 기본정보'!B$2*'종목 기본정보'!B$3</f>
        <v>131610000000</v>
      </c>
      <c r="C240" s="8">
        <f ca="1">'일자별 주가'!C240*'종목 기본정보'!C$2*'종목 기본정보'!C$3</f>
        <v>135724500000</v>
      </c>
      <c r="D240" s="8">
        <f ca="1">'일자별 주가'!D240*'종목 기본정보'!D$2*'종목 기본정보'!D$3</f>
        <v>320029600000</v>
      </c>
      <c r="E240" s="8">
        <f ca="1">'일자별 주가'!E240*'종목 기본정보'!E$2*'종목 기본정보'!E$3</f>
        <v>69337840000</v>
      </c>
      <c r="F240" s="8">
        <f ca="1">'일자별 주가'!F240*'종목 기본정보'!F$2*'종목 기본정보'!F$3</f>
        <v>632322000000</v>
      </c>
      <c r="G240" s="9">
        <f t="shared" ca="1" si="6"/>
        <v>1289023940000</v>
      </c>
      <c r="H240" s="10">
        <f t="shared" ca="1" si="7"/>
        <v>103.53605943775099</v>
      </c>
    </row>
    <row r="241" spans="1:8" x14ac:dyDescent="0.3">
      <c r="A241" s="1">
        <v>240</v>
      </c>
      <c r="B241" s="8">
        <f ca="1">'일자별 주가'!B241*'종목 기본정보'!B$2*'종목 기본정보'!B$3</f>
        <v>131175000000</v>
      </c>
      <c r="C241" s="8">
        <f ca="1">'일자별 주가'!C241*'종목 기본정보'!C$2*'종목 기본정보'!C$3</f>
        <v>131931000000</v>
      </c>
      <c r="D241" s="8">
        <f ca="1">'일자별 주가'!D241*'종목 기본정보'!D$2*'종목 기본정보'!D$3</f>
        <v>324785600000</v>
      </c>
      <c r="E241" s="8">
        <f ca="1">'일자별 주가'!E241*'종목 기본정보'!E$2*'종목 기본정보'!E$3</f>
        <v>70092880000</v>
      </c>
      <c r="F241" s="8">
        <f ca="1">'일자별 주가'!F241*'종목 기본정보'!F$2*'종목 기본정보'!F$3</f>
        <v>643354000000</v>
      </c>
      <c r="G241" s="9">
        <f t="shared" ca="1" si="6"/>
        <v>1301338480000</v>
      </c>
      <c r="H241" s="10">
        <f t="shared" ca="1" si="7"/>
        <v>104.52517911646586</v>
      </c>
    </row>
    <row r="242" spans="1:8" x14ac:dyDescent="0.3">
      <c r="A242" s="1">
        <v>241</v>
      </c>
      <c r="B242" s="8">
        <f ca="1">'일자별 주가'!B242*'종목 기본정보'!B$2*'종목 기본정보'!B$3</f>
        <v>130275000000</v>
      </c>
      <c r="C242" s="8">
        <f ca="1">'일자별 주가'!C242*'종목 기본정보'!C$2*'종목 기본정보'!C$3</f>
        <v>135922500000</v>
      </c>
      <c r="D242" s="8">
        <f ca="1">'일자별 주가'!D242*'종목 기본정보'!D$2*'종목 기본정보'!D$3</f>
        <v>332329600000</v>
      </c>
      <c r="E242" s="8">
        <f ca="1">'일자별 주가'!E242*'종목 기본정보'!E$2*'종목 기본정보'!E$3</f>
        <v>68871440000</v>
      </c>
      <c r="F242" s="8">
        <f ca="1">'일자별 주가'!F242*'종목 기본정보'!F$2*'종목 기본정보'!F$3</f>
        <v>635684500000</v>
      </c>
      <c r="G242" s="9">
        <f t="shared" ca="1" si="6"/>
        <v>1303083040000</v>
      </c>
      <c r="H242" s="10">
        <f t="shared" ca="1" si="7"/>
        <v>104.66530441767068</v>
      </c>
    </row>
    <row r="243" spans="1:8" x14ac:dyDescent="0.3">
      <c r="A243" s="1">
        <v>242</v>
      </c>
      <c r="B243" s="8">
        <f ca="1">'일자별 주가'!B243*'종목 기본정보'!B$2*'종목 기본정보'!B$3</f>
        <v>132247500000</v>
      </c>
      <c r="C243" s="8">
        <f ca="1">'일자별 주가'!C243*'종목 기본정보'!C$2*'종목 기본정보'!C$3</f>
        <v>133650000000</v>
      </c>
      <c r="D243" s="8">
        <f ca="1">'일자별 주가'!D243*'종목 기본정보'!D$2*'종목 기본정보'!D$3</f>
        <v>337200400000</v>
      </c>
      <c r="E243" s="8">
        <f ca="1">'일자별 주가'!E243*'종목 기본정보'!E$2*'종목 기본정보'!E$3</f>
        <v>67761760000</v>
      </c>
      <c r="F243" s="8">
        <f ca="1">'일자별 주가'!F243*'종목 기본정보'!F$2*'종목 기본정보'!F$3</f>
        <v>640554500000</v>
      </c>
      <c r="G243" s="9">
        <f t="shared" ca="1" si="6"/>
        <v>1311414160000</v>
      </c>
      <c r="H243" s="10">
        <f t="shared" ca="1" si="7"/>
        <v>105.33447068273092</v>
      </c>
    </row>
    <row r="244" spans="1:8" x14ac:dyDescent="0.3">
      <c r="A244" s="1">
        <v>243</v>
      </c>
      <c r="B244" s="8">
        <f ca="1">'일자별 주가'!B244*'종목 기본정보'!B$2*'종목 기본정보'!B$3</f>
        <v>133980000000</v>
      </c>
      <c r="C244" s="8">
        <f ca="1">'일자별 주가'!C244*'종목 기본정보'!C$2*'종목 기본정보'!C$3</f>
        <v>130054500000</v>
      </c>
      <c r="D244" s="8">
        <f ca="1">'일자별 주가'!D244*'종목 기본정보'!D$2*'종목 기본정보'!D$3</f>
        <v>347909600000</v>
      </c>
      <c r="E244" s="8">
        <f ca="1">'일자별 주가'!E244*'종목 기본정보'!E$2*'종목 기본정보'!E$3</f>
        <v>67448480000</v>
      </c>
      <c r="F244" s="8">
        <f ca="1">'일자별 주가'!F244*'종목 기본정보'!F$2*'종목 기본정보'!F$3</f>
        <v>657896500000</v>
      </c>
      <c r="G244" s="9">
        <f t="shared" ca="1" si="6"/>
        <v>1337289080000</v>
      </c>
      <c r="H244" s="10">
        <f t="shared" ca="1" si="7"/>
        <v>107.41277751004017</v>
      </c>
    </row>
    <row r="245" spans="1:8" x14ac:dyDescent="0.3">
      <c r="A245" s="1">
        <v>244</v>
      </c>
      <c r="B245" s="8">
        <f ca="1">'일자별 주가'!B245*'종목 기본정보'!B$2*'종목 기본정보'!B$3</f>
        <v>137527500000</v>
      </c>
      <c r="C245" s="8">
        <f ca="1">'일자별 주가'!C245*'종목 기본정보'!C$2*'종목 기본정보'!C$3</f>
        <v>131242500000</v>
      </c>
      <c r="D245" s="8">
        <f ca="1">'일자별 주가'!D245*'종목 기본정보'!D$2*'종목 기본정보'!D$3</f>
        <v>349139600000</v>
      </c>
      <c r="E245" s="8">
        <f ca="1">'일자별 주가'!E245*'종목 기본정보'!E$2*'종목 기본정보'!E$3</f>
        <v>68369840000</v>
      </c>
      <c r="F245" s="8">
        <f ca="1">'일자별 주가'!F245*'종목 기본정보'!F$2*'종목 기본정보'!F$3</f>
        <v>679372000000</v>
      </c>
      <c r="G245" s="9">
        <f t="shared" ca="1" si="6"/>
        <v>1365651440000</v>
      </c>
      <c r="H245" s="10">
        <f t="shared" ca="1" si="7"/>
        <v>109.69087871485942</v>
      </c>
    </row>
    <row r="246" spans="1:8" x14ac:dyDescent="0.3">
      <c r="A246" s="1">
        <v>245</v>
      </c>
      <c r="B246" s="8">
        <f ca="1">'일자별 주가'!B246*'종목 기본정보'!B$2*'종목 기본정보'!B$3</f>
        <v>135495000000</v>
      </c>
      <c r="C246" s="8">
        <f ca="1">'일자별 주가'!C246*'종목 기본정보'!C$2*'종목 기본정보'!C$3</f>
        <v>130990500000</v>
      </c>
      <c r="D246" s="8">
        <f ca="1">'일자별 주가'!D246*'종목 기본정보'!D$2*'종목 기본정보'!D$3</f>
        <v>341349600000</v>
      </c>
      <c r="E246" s="8">
        <f ca="1">'일자별 주가'!E246*'종목 기본정보'!E$2*'종목 기본정보'!E$3</f>
        <v>67630640000</v>
      </c>
      <c r="F246" s="8">
        <f ca="1">'일자별 주가'!F246*'종목 기본정보'!F$2*'종목 기본정보'!F$3</f>
        <v>685432000000</v>
      </c>
      <c r="G246" s="9">
        <f t="shared" ca="1" si="6"/>
        <v>1360897740000</v>
      </c>
      <c r="H246" s="10">
        <f t="shared" ca="1" si="7"/>
        <v>109.30905542168674</v>
      </c>
    </row>
    <row r="247" spans="1:8" x14ac:dyDescent="0.3">
      <c r="A247" s="1">
        <v>246</v>
      </c>
      <c r="B247" s="8">
        <f ca="1">'일자별 주가'!B247*'종목 기본정보'!B$2*'종목 기본정보'!B$3</f>
        <v>132960000000</v>
      </c>
      <c r="C247" s="8">
        <f ca="1">'일자별 주가'!C247*'종목 기본정보'!C$2*'종목 기본정보'!C$3</f>
        <v>127062000000</v>
      </c>
      <c r="D247" s="8">
        <f ca="1">'일자별 주가'!D247*'종목 기본정보'!D$2*'종목 기본정보'!D$3</f>
        <v>336987200000</v>
      </c>
      <c r="E247" s="8">
        <f ca="1">'일자별 주가'!E247*'종목 기본정보'!E$2*'종목 기본정보'!E$3</f>
        <v>66682880000</v>
      </c>
      <c r="F247" s="8">
        <f ca="1">'일자별 주가'!F247*'종목 기본정보'!F$2*'종목 기본정보'!F$3</f>
        <v>707942000000</v>
      </c>
      <c r="G247" s="9">
        <f t="shared" ca="1" si="6"/>
        <v>1371634080000</v>
      </c>
      <c r="H247" s="10">
        <f t="shared" ca="1" si="7"/>
        <v>110.17141204819276</v>
      </c>
    </row>
    <row r="248" spans="1:8" x14ac:dyDescent="0.3">
      <c r="A248" s="1">
        <v>247</v>
      </c>
      <c r="B248" s="8">
        <f ca="1">'일자별 주가'!B248*'종목 기본정보'!B$2*'종목 기본정보'!B$3</f>
        <v>130770000000</v>
      </c>
      <c r="C248" s="8">
        <f ca="1">'일자별 주가'!C248*'종목 기본정보'!C$2*'종목 기본정보'!C$3</f>
        <v>123768000000</v>
      </c>
      <c r="D248" s="8">
        <f ca="1">'일자별 주가'!D248*'종목 기본정보'!D$2*'종목 기본정보'!D$3</f>
        <v>342661600000</v>
      </c>
      <c r="E248" s="8">
        <f ca="1">'일자별 주가'!E248*'종목 기본정보'!E$2*'종목 기본정보'!E$3</f>
        <v>67858560000</v>
      </c>
      <c r="F248" s="8">
        <f ca="1">'일자별 주가'!F248*'종목 기본정보'!F$2*'종목 기본정보'!F$3</f>
        <v>724637500000</v>
      </c>
      <c r="G248" s="9">
        <f t="shared" ca="1" si="6"/>
        <v>1389695660000</v>
      </c>
      <c r="H248" s="10">
        <f t="shared" ca="1" si="7"/>
        <v>111.62214136546184</v>
      </c>
    </row>
    <row r="249" spans="1:8" x14ac:dyDescent="0.3">
      <c r="A249" s="1">
        <v>248</v>
      </c>
      <c r="B249" s="8">
        <f ca="1">'일자별 주가'!B249*'종목 기본정보'!B$2*'종목 기본정보'!B$3</f>
        <v>132082500000</v>
      </c>
      <c r="C249" s="8">
        <f ca="1">'일자별 주가'!C249*'종목 기본정보'!C$2*'종목 기본정보'!C$3</f>
        <v>124357500000</v>
      </c>
      <c r="D249" s="8">
        <f ca="1">'일자별 주가'!D249*'종목 기본정보'!D$2*'종목 기본정보'!D$3</f>
        <v>350172800000</v>
      </c>
      <c r="E249" s="8">
        <f ca="1">'일자별 주가'!E249*'종목 기본정보'!E$2*'종목 기본정보'!E$3</f>
        <v>69530560000</v>
      </c>
      <c r="F249" s="8">
        <f ca="1">'일자별 주가'!F249*'종목 기본정보'!F$2*'종목 기본정보'!F$3</f>
        <v>714183500000</v>
      </c>
      <c r="G249" s="9">
        <f t="shared" ca="1" si="6"/>
        <v>1390326860000</v>
      </c>
      <c r="H249" s="10">
        <f t="shared" ca="1" si="7"/>
        <v>111.67284016064256</v>
      </c>
    </row>
    <row r="250" spans="1:8" x14ac:dyDescent="0.3">
      <c r="A250" s="1">
        <v>249</v>
      </c>
      <c r="B250" s="8">
        <f ca="1">'일자별 주가'!B250*'종목 기본정보'!B$2*'종목 기본정보'!B$3</f>
        <v>133335000000</v>
      </c>
      <c r="C250" s="8">
        <f ca="1">'일자별 주가'!C250*'종목 기본정보'!C$2*'종목 기본정보'!C$3</f>
        <v>121095000000</v>
      </c>
      <c r="D250" s="8">
        <f ca="1">'일자별 주가'!D250*'종목 기본정보'!D$2*'종목 기본정보'!D$3</f>
        <v>341661200000</v>
      </c>
      <c r="E250" s="8">
        <f ca="1">'일자별 주가'!E250*'종목 기본정보'!E$2*'종목 기본정보'!E$3</f>
        <v>71237760000</v>
      </c>
      <c r="F250" s="8">
        <f ca="1">'일자별 주가'!F250*'종목 기본정보'!F$2*'종목 기본정보'!F$3</f>
        <v>698349000000</v>
      </c>
      <c r="G250" s="9">
        <f t="shared" ca="1" si="6"/>
        <v>1365677960000</v>
      </c>
      <c r="H250" s="10">
        <f t="shared" ca="1" si="7"/>
        <v>109.69300883534136</v>
      </c>
    </row>
    <row r="251" spans="1:8" x14ac:dyDescent="0.3">
      <c r="A251" s="1">
        <v>250</v>
      </c>
      <c r="B251" s="8">
        <f ca="1">'일자별 주가'!B251*'종목 기본정보'!B$2*'종목 기본정보'!B$3</f>
        <v>137535000000</v>
      </c>
      <c r="C251" s="8">
        <f ca="1">'일자별 주가'!C251*'종목 기본정보'!C$2*'종목 기본정보'!C$3</f>
        <v>122049000000</v>
      </c>
      <c r="D251" s="8">
        <f ca="1">'일자별 주가'!D251*'종목 기본정보'!D$2*'종목 기본정보'!D$3</f>
        <v>344514800000</v>
      </c>
      <c r="E251" s="8">
        <f ca="1">'일자별 주가'!E251*'종목 기본정보'!E$2*'종목 기본정보'!E$3</f>
        <v>69362480000</v>
      </c>
      <c r="F251" s="8">
        <f ca="1">'일자별 주가'!F251*'종목 기본정보'!F$2*'종목 기본정보'!F$3</f>
        <v>679826500000</v>
      </c>
      <c r="G251" s="9">
        <f t="shared" ca="1" si="6"/>
        <v>1353287780000</v>
      </c>
      <c r="H251" s="10">
        <f t="shared" ca="1" si="7"/>
        <v>108.69781365461849</v>
      </c>
    </row>
    <row r="252" spans="1:8" x14ac:dyDescent="0.3">
      <c r="A252" s="1">
        <v>251</v>
      </c>
      <c r="B252" s="8">
        <f ca="1">'일자별 주가'!B252*'종목 기본정보'!B$2*'종목 기본정보'!B$3</f>
        <v>140985000000</v>
      </c>
      <c r="C252" s="8">
        <f ca="1">'일자별 주가'!C252*'종목 기본정보'!C$2*'종목 기본정보'!C$3</f>
        <v>120937500000</v>
      </c>
      <c r="D252" s="8">
        <f ca="1">'일자별 주가'!D252*'종목 기본정보'!D$2*'종목 기본정보'!D$3</f>
        <v>355470000000</v>
      </c>
      <c r="E252" s="8">
        <f ca="1">'일자별 주가'!E252*'종목 기본정보'!E$2*'종목 기본정보'!E$3</f>
        <v>69788400000</v>
      </c>
      <c r="F252" s="8">
        <f ca="1">'일자별 주가'!F252*'종목 기본정보'!F$2*'종목 기본정보'!F$3</f>
        <v>696703000000</v>
      </c>
      <c r="G252" s="9">
        <f t="shared" ca="1" si="6"/>
        <v>1383883900000</v>
      </c>
      <c r="H252" s="10">
        <f t="shared" ca="1" si="7"/>
        <v>111.15533333333335</v>
      </c>
    </row>
    <row r="253" spans="1:8" x14ac:dyDescent="0.3">
      <c r="A253" s="1">
        <v>252</v>
      </c>
      <c r="B253" s="8">
        <f ca="1">'일자별 주가'!B253*'종목 기본정보'!B$2*'종목 기본정보'!B$3</f>
        <v>142575000000</v>
      </c>
      <c r="C253" s="8">
        <f ca="1">'일자별 주가'!C253*'종목 기본정보'!C$2*'종목 기본정보'!C$3</f>
        <v>121711500000</v>
      </c>
      <c r="D253" s="8">
        <f ca="1">'일자별 주가'!D253*'종목 기본정보'!D$2*'종목 기본정보'!D$3</f>
        <v>360422800000</v>
      </c>
      <c r="E253" s="8">
        <f ca="1">'일자별 주가'!E253*'종목 기본정보'!E$2*'종목 기본정보'!E$3</f>
        <v>70745840000</v>
      </c>
      <c r="F253" s="8">
        <f ca="1">'일자별 주가'!F253*'종목 기본정보'!F$2*'종목 기본정보'!F$3</f>
        <v>712942500000</v>
      </c>
      <c r="G253" s="9">
        <f t="shared" ca="1" si="6"/>
        <v>1408397640000</v>
      </c>
      <c r="H253" s="10">
        <f t="shared" ca="1" si="7"/>
        <v>113.12430843373494</v>
      </c>
    </row>
  </sheetData>
  <phoneticPr fontId="1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6"/>
  <sheetViews>
    <sheetView tabSelected="1" workbookViewId="0">
      <selection activeCell="D1" sqref="D1"/>
    </sheetView>
  </sheetViews>
  <sheetFormatPr defaultRowHeight="16.5" x14ac:dyDescent="0.3"/>
  <cols>
    <col min="1" max="1" width="5.25" bestFit="1" customWidth="1"/>
    <col min="2" max="2" width="7.5" bestFit="1" customWidth="1"/>
    <col min="3" max="4" width="17.625" style="16" bestFit="1" customWidth="1"/>
    <col min="6" max="6" width="11.375" bestFit="1" customWidth="1"/>
    <col min="8" max="8" width="9.75" bestFit="1" customWidth="1"/>
    <col min="9" max="10" width="11" bestFit="1" customWidth="1"/>
  </cols>
  <sheetData>
    <row r="1" spans="1:10" x14ac:dyDescent="0.3">
      <c r="A1" s="4" t="s">
        <v>12</v>
      </c>
      <c r="B1" s="4" t="s">
        <v>11</v>
      </c>
      <c r="C1" s="15" t="s">
        <v>13</v>
      </c>
      <c r="D1" s="15" t="s">
        <v>20</v>
      </c>
    </row>
    <row r="2" spans="1:10" x14ac:dyDescent="0.3">
      <c r="A2" s="2">
        <v>1</v>
      </c>
      <c r="B2" s="13">
        <f>'일자별 시가총액'!H2</f>
        <v>100</v>
      </c>
      <c r="C2" s="13">
        <f>B2*EXP(($G$2-$G$3)*(($G$4-A2)/252))</f>
        <v>100.18469415946785</v>
      </c>
      <c r="D2" s="13">
        <f>B2*EXP(($G$2-$G$3)*(($G$5-A2)/252))</f>
        <v>100.37271667704235</v>
      </c>
      <c r="F2" s="4" t="s">
        <v>15</v>
      </c>
      <c r="G2" s="14">
        <v>2.2499999999999999E-2</v>
      </c>
      <c r="H2" t="s">
        <v>19</v>
      </c>
      <c r="I2" s="12"/>
      <c r="J2" s="12"/>
    </row>
    <row r="3" spans="1:10" x14ac:dyDescent="0.3">
      <c r="A3" s="2">
        <v>2</v>
      </c>
      <c r="B3" s="13">
        <f ca="1">'일자별 시가총액'!H3</f>
        <v>99.645444176706832</v>
      </c>
      <c r="C3" s="13">
        <f ca="1">B3*EXP(($G$2-$G$3)*(($G$4-A3)/252))</f>
        <v>99.826512420909467</v>
      </c>
      <c r="D3" s="13">
        <f t="shared" ref="D3:D66" ca="1" si="0">B3*EXP(($G$2-$G$3)*(($G$5-A3)/252))</f>
        <v>100.01386271771413</v>
      </c>
      <c r="F3" s="4" t="s">
        <v>14</v>
      </c>
      <c r="G3" s="14">
        <v>1.4999999999999999E-2</v>
      </c>
      <c r="H3" s="12" t="s">
        <v>18</v>
      </c>
    </row>
    <row r="4" spans="1:10" x14ac:dyDescent="0.3">
      <c r="A4" s="2">
        <v>3</v>
      </c>
      <c r="B4" s="13">
        <f ca="1">'일자별 시가총액'!H4</f>
        <v>99.758011244979912</v>
      </c>
      <c r="C4" s="13">
        <f ca="1">B4*EXP(($G$2-$G$3)*(($G$4-A4)/252))</f>
        <v>99.93630969844277</v>
      </c>
      <c r="D4" s="13">
        <f t="shared" ca="1" si="0"/>
        <v>100.12386605826654</v>
      </c>
      <c r="F4" s="4" t="s">
        <v>16</v>
      </c>
      <c r="G4" s="11">
        <v>63</v>
      </c>
    </row>
    <row r="5" spans="1:10" x14ac:dyDescent="0.3">
      <c r="A5" s="2">
        <v>4</v>
      </c>
      <c r="B5" s="13">
        <f ca="1">'일자별 시가총액'!H5</f>
        <v>101.89657349397589</v>
      </c>
      <c r="C5" s="13">
        <f ca="1">B5*EXP(($G$2-$G$3)*(($G$4-A5)/252))</f>
        <v>102.07565620915877</v>
      </c>
      <c r="D5" s="13">
        <f t="shared" ca="1" si="0"/>
        <v>102.2672276066116</v>
      </c>
      <c r="F5" s="4" t="s">
        <v>17</v>
      </c>
      <c r="G5" s="11">
        <v>126</v>
      </c>
    </row>
    <row r="6" spans="1:10" x14ac:dyDescent="0.3">
      <c r="A6" s="2">
        <v>5</v>
      </c>
      <c r="B6" s="13">
        <f ca="1">'일자별 시가총액'!H6</f>
        <v>103.44237751004015</v>
      </c>
      <c r="C6" s="13">
        <f ca="1">B6*EXP(($G$2-$G$3)*(($G$4-A6)/252))</f>
        <v>103.62109296101016</v>
      </c>
      <c r="D6" s="13">
        <f t="shared" ca="1" si="0"/>
        <v>103.81556477065942</v>
      </c>
    </row>
    <row r="7" spans="1:10" x14ac:dyDescent="0.3">
      <c r="A7" s="2">
        <v>6</v>
      </c>
      <c r="B7" s="13">
        <f ca="1">'일자별 시가총액'!H7</f>
        <v>102.12384578313254</v>
      </c>
      <c r="C7" s="13">
        <f ca="1">B7*EXP(($G$2-$G$3)*(($G$4-A7)/252))</f>
        <v>102.29723862564578</v>
      </c>
      <c r="D7" s="13">
        <f t="shared" ca="1" si="0"/>
        <v>102.48922587987344</v>
      </c>
    </row>
    <row r="8" spans="1:10" x14ac:dyDescent="0.3">
      <c r="A8" s="2">
        <v>7</v>
      </c>
      <c r="B8" s="13">
        <f ca="1">'일자별 시가총액'!H8</f>
        <v>102.15116947791165</v>
      </c>
      <c r="C8" s="13">
        <f ca="1">B8*EXP(($G$2-$G$3)*(($G$4-A8)/252))</f>
        <v>102.32156338251897</v>
      </c>
      <c r="D8" s="13">
        <f t="shared" ca="1" si="0"/>
        <v>102.51359628845087</v>
      </c>
    </row>
    <row r="9" spans="1:10" x14ac:dyDescent="0.3">
      <c r="A9" s="2">
        <v>8</v>
      </c>
      <c r="B9" s="13">
        <f ca="1">'일자별 시가총액'!H9</f>
        <v>100.52402248995985</v>
      </c>
      <c r="C9" s="13">
        <f ca="1">B9*EXP(($G$2-$G$3)*(($G$4-A9)/252))</f>
        <v>100.68870548948078</v>
      </c>
      <c r="D9" s="13">
        <f t="shared" ca="1" si="0"/>
        <v>100.87767391481047</v>
      </c>
    </row>
    <row r="10" spans="1:10" x14ac:dyDescent="0.3">
      <c r="A10" s="2">
        <v>9</v>
      </c>
      <c r="B10" s="13">
        <f ca="1">'일자별 시가총액'!H10</f>
        <v>100.15721927710844</v>
      </c>
      <c r="C10" s="13">
        <f ca="1">B10*EXP(($G$2-$G$3)*(($G$4-A10)/252))</f>
        <v>100.31831565443224</v>
      </c>
      <c r="D10" s="13">
        <f t="shared" ca="1" si="0"/>
        <v>100.50658894733822</v>
      </c>
    </row>
    <row r="11" spans="1:10" x14ac:dyDescent="0.3">
      <c r="A11" s="2">
        <v>10</v>
      </c>
      <c r="B11" s="13">
        <f ca="1">'일자별 시가총액'!H11</f>
        <v>98.992364658634528</v>
      </c>
      <c r="C11" s="13">
        <f ca="1">B11*EXP(($G$2-$G$3)*(($G$4-A11)/252))</f>
        <v>99.148636546826054</v>
      </c>
      <c r="D11" s="13">
        <f t="shared" ca="1" si="0"/>
        <v>99.334714634043067</v>
      </c>
    </row>
    <row r="12" spans="1:10" x14ac:dyDescent="0.3">
      <c r="A12" s="2">
        <v>11</v>
      </c>
      <c r="B12" s="13">
        <f ca="1">'일자별 시가총액'!H12</f>
        <v>98.431195180722895</v>
      </c>
      <c r="C12" s="13">
        <f ca="1">B12*EXP(($G$2-$G$3)*(($G$4-A12)/252))</f>
        <v>98.583647111592072</v>
      </c>
      <c r="D12" s="13">
        <f t="shared" ca="1" si="0"/>
        <v>98.768664849851518</v>
      </c>
    </row>
    <row r="13" spans="1:10" x14ac:dyDescent="0.3">
      <c r="A13" s="2">
        <v>12</v>
      </c>
      <c r="B13" s="13">
        <f ca="1">'일자별 시가총액'!H13</f>
        <v>98.538009638554215</v>
      </c>
      <c r="C13" s="13">
        <f ca="1">B13*EXP(($G$2-$G$3)*(($G$4-A13)/252))</f>
        <v>98.687689828162263</v>
      </c>
      <c r="D13" s="13">
        <f t="shared" ca="1" si="0"/>
        <v>98.872902829517216</v>
      </c>
    </row>
    <row r="14" spans="1:10" x14ac:dyDescent="0.3">
      <c r="A14" s="2">
        <v>13</v>
      </c>
      <c r="B14" s="13">
        <f ca="1">'일자별 시가총액'!H14</f>
        <v>96.870856224899597</v>
      </c>
      <c r="C14" s="13">
        <f ca="1">B14*EXP(($G$2-$G$3)*(($G$4-A14)/252))</f>
        <v>97.015116594721604</v>
      </c>
      <c r="D14" s="13">
        <f t="shared" ca="1" si="0"/>
        <v>97.197190579355322</v>
      </c>
    </row>
    <row r="15" spans="1:10" x14ac:dyDescent="0.3">
      <c r="A15" s="2">
        <v>14</v>
      </c>
      <c r="B15" s="13">
        <f ca="1">'일자별 시가총액'!H15</f>
        <v>96.925280321285143</v>
      </c>
      <c r="C15" s="13">
        <f ca="1">B15*EXP(($G$2-$G$3)*(($G$4-A15)/252))</f>
        <v>97.066732805787623</v>
      </c>
      <c r="D15" s="13">
        <f t="shared" ca="1" si="0"/>
        <v>97.248903661605439</v>
      </c>
    </row>
    <row r="16" spans="1:10" x14ac:dyDescent="0.3">
      <c r="A16" s="2">
        <v>15</v>
      </c>
      <c r="B16" s="13">
        <f ca="1">'일자별 시가총액'!H16</f>
        <v>95.949892369477908</v>
      </c>
      <c r="C16" s="13">
        <f ca="1">B16*EXP(($G$2-$G$3)*(($G$4-A16)/252))</f>
        <v>96.08706159898442</v>
      </c>
      <c r="D16" s="13">
        <f t="shared" ca="1" si="0"/>
        <v>96.267393848134375</v>
      </c>
    </row>
    <row r="17" spans="1:4" x14ac:dyDescent="0.3">
      <c r="A17" s="2">
        <v>16</v>
      </c>
      <c r="B17" s="13">
        <f ca="1">'일자별 시가총액'!H17</f>
        <v>96.710260240963848</v>
      </c>
      <c r="C17" s="13">
        <f ca="1">B17*EXP(($G$2-$G$3)*(($G$4-A17)/252))</f>
        <v>96.845634133110337</v>
      </c>
      <c r="D17" s="13">
        <f t="shared" ca="1" si="0"/>
        <v>97.027390040023832</v>
      </c>
    </row>
    <row r="18" spans="1:4" x14ac:dyDescent="0.3">
      <c r="A18" s="2">
        <v>17</v>
      </c>
      <c r="B18" s="13">
        <f ca="1">'일자별 시가총액'!H18</f>
        <v>95.852923694779108</v>
      </c>
      <c r="C18" s="13">
        <f ca="1">B18*EXP(($G$2-$G$3)*(($G$4-A18)/252))</f>
        <v>95.984240780903704</v>
      </c>
      <c r="D18" s="13">
        <f t="shared" ca="1" si="0"/>
        <v>96.164380060167048</v>
      </c>
    </row>
    <row r="19" spans="1:4" x14ac:dyDescent="0.3">
      <c r="A19" s="2">
        <v>18</v>
      </c>
      <c r="B19" s="13">
        <f ca="1">'일자별 시가총액'!H19</f>
        <v>95.973987148594375</v>
      </c>
      <c r="C19" s="13">
        <f ca="1">B19*EXP(($G$2-$G$3)*(($G$4-A19)/252))</f>
        <v>96.102609850573444</v>
      </c>
      <c r="D19" s="13">
        <f t="shared" ca="1" si="0"/>
        <v>96.282971280043128</v>
      </c>
    </row>
    <row r="20" spans="1:4" x14ac:dyDescent="0.3">
      <c r="A20" s="2">
        <v>19</v>
      </c>
      <c r="B20" s="13">
        <f ca="1">'일자별 시가총액'!H20</f>
        <v>97.003408835341361</v>
      </c>
      <c r="C20" s="13">
        <f ca="1">B20*EXP(($G$2-$G$3)*(($G$4-A20)/252))</f>
        <v>97.130520318408188</v>
      </c>
      <c r="D20" s="13">
        <f t="shared" ca="1" si="0"/>
        <v>97.312810888008769</v>
      </c>
    </row>
    <row r="21" spans="1:4" x14ac:dyDescent="0.3">
      <c r="A21" s="2">
        <v>20</v>
      </c>
      <c r="B21" s="13">
        <f ca="1">'일자별 시가총액'!H21</f>
        <v>98.112615261044184</v>
      </c>
      <c r="C21" s="13">
        <f ca="1">B21*EXP(($G$2-$G$3)*(($G$4-A21)/252))</f>
        <v>98.238256426672734</v>
      </c>
      <c r="D21" s="13">
        <f t="shared" ca="1" si="0"/>
        <v>98.422625949886253</v>
      </c>
    </row>
    <row r="22" spans="1:4" x14ac:dyDescent="0.3">
      <c r="A22" s="2">
        <v>21</v>
      </c>
      <c r="B22" s="13">
        <f ca="1">'일자별 시가총액'!H22</f>
        <v>98.429744578313247</v>
      </c>
      <c r="C22" s="13">
        <f ca="1">B22*EXP(($G$2-$G$3)*(($G$4-A22)/252))</f>
        <v>98.552858689325049</v>
      </c>
      <c r="D22" s="13">
        <f t="shared" ca="1" si="0"/>
        <v>98.737818645138603</v>
      </c>
    </row>
    <row r="23" spans="1:4" x14ac:dyDescent="0.3">
      <c r="A23" s="2">
        <v>22</v>
      </c>
      <c r="B23" s="13">
        <f ca="1">'일자별 시가총액'!H23</f>
        <v>98.326578313253009</v>
      </c>
      <c r="C23" s="13">
        <f ca="1">B23*EXP(($G$2-$G$3)*(($G$4-A23)/252))</f>
        <v>98.446633382873344</v>
      </c>
      <c r="D23" s="13">
        <f t="shared" ca="1" si="0"/>
        <v>98.631393979396407</v>
      </c>
    </row>
    <row r="24" spans="1:4" x14ac:dyDescent="0.3">
      <c r="A24" s="2">
        <v>23</v>
      </c>
      <c r="B24" s="13">
        <f ca="1">'일자별 시가총액'!H24</f>
        <v>99.715892369477913</v>
      </c>
      <c r="C24" s="13">
        <f ca="1">B24*EXP(($G$2-$G$3)*(($G$4-A24)/252))</f>
        <v>99.834672453558611</v>
      </c>
      <c r="D24" s="13">
        <f t="shared" ca="1" si="0"/>
        <v>100.02203806477729</v>
      </c>
    </row>
    <row r="25" spans="1:4" x14ac:dyDescent="0.3">
      <c r="A25" s="2">
        <v>24</v>
      </c>
      <c r="B25" s="13">
        <f ca="1">'일자별 시가총액'!H25</f>
        <v>98.998297188755018</v>
      </c>
      <c r="C25" s="13">
        <f ca="1">B25*EXP(($G$2-$G$3)*(($G$4-A25)/252))</f>
        <v>99.113272640479579</v>
      </c>
      <c r="D25" s="13">
        <f t="shared" ca="1" si="0"/>
        <v>99.299284358170226</v>
      </c>
    </row>
    <row r="26" spans="1:4" x14ac:dyDescent="0.3">
      <c r="A26" s="2">
        <v>25</v>
      </c>
      <c r="B26" s="13">
        <f ca="1">'일자별 시가총액'!H26</f>
        <v>99.469828112449804</v>
      </c>
      <c r="C26" s="13">
        <f ca="1">B26*EXP(($G$2-$G$3)*(($G$4-A26)/252))</f>
        <v>99.582387388979967</v>
      </c>
      <c r="D26" s="13">
        <f t="shared" ca="1" si="0"/>
        <v>99.769279521955411</v>
      </c>
    </row>
    <row r="27" spans="1:4" x14ac:dyDescent="0.3">
      <c r="A27" s="2">
        <v>26</v>
      </c>
      <c r="B27" s="13">
        <f ca="1">'일자별 시가총액'!H27</f>
        <v>99.010706827309235</v>
      </c>
      <c r="C27" s="13">
        <f ca="1">B27*EXP(($G$2-$G$3)*(($G$4-A27)/252))</f>
        <v>99.119796527954364</v>
      </c>
      <c r="D27" s="13">
        <f t="shared" ca="1" si="0"/>
        <v>99.30582048940893</v>
      </c>
    </row>
    <row r="28" spans="1:4" x14ac:dyDescent="0.3">
      <c r="A28" s="2">
        <v>27</v>
      </c>
      <c r="B28" s="13">
        <f ca="1">'일자별 시가총액'!H28</f>
        <v>98.79968192771085</v>
      </c>
      <c r="C28" s="13">
        <f ca="1">B28*EXP(($G$2-$G$3)*(($G$4-A28)/252))</f>
        <v>98.905595459035993</v>
      </c>
      <c r="D28" s="13">
        <f t="shared" ca="1" si="0"/>
        <v>99.091217416725598</v>
      </c>
    </row>
    <row r="29" spans="1:4" x14ac:dyDescent="0.3">
      <c r="A29" s="2">
        <v>28</v>
      </c>
      <c r="B29" s="13">
        <f ca="1">'일자별 시가총액'!H29</f>
        <v>99.638636144578314</v>
      </c>
      <c r="C29" s="13">
        <f ca="1">B29*EXP(($G$2-$G$3)*(($G$4-A29)/252))</f>
        <v>99.742480466756859</v>
      </c>
      <c r="D29" s="13">
        <f t="shared" ca="1" si="0"/>
        <v>99.929673055842713</v>
      </c>
    </row>
    <row r="30" spans="1:4" x14ac:dyDescent="0.3">
      <c r="A30" s="2">
        <v>29</v>
      </c>
      <c r="B30" s="13">
        <f ca="1">'일자별 시가총액'!H30</f>
        <v>100.64045943775099</v>
      </c>
      <c r="C30" s="13">
        <f ca="1">B30*EXP(($G$2-$G$3)*(($G$4-A30)/252))</f>
        <v>100.74234954074234</v>
      </c>
      <c r="D30" s="13">
        <f t="shared" ca="1" si="0"/>
        <v>100.93141864302326</v>
      </c>
    </row>
    <row r="31" spans="1:4" x14ac:dyDescent="0.3">
      <c r="A31" s="2">
        <v>30</v>
      </c>
      <c r="B31" s="13">
        <f ca="1">'일자별 시가총액'!H31</f>
        <v>100.22661365461846</v>
      </c>
      <c r="C31" s="13">
        <f ca="1">B31*EXP(($G$2-$G$3)*(($G$4-A31)/252))</f>
        <v>100.32509886267016</v>
      </c>
      <c r="D31" s="13">
        <f t="shared" ca="1" si="0"/>
        <v>100.51338488602264</v>
      </c>
    </row>
    <row r="32" spans="1:4" x14ac:dyDescent="0.3">
      <c r="A32" s="2">
        <v>31</v>
      </c>
      <c r="B32" s="13">
        <f ca="1">'일자별 시가총액'!H32</f>
        <v>100.09027469879518</v>
      </c>
      <c r="C32" s="13">
        <f ca="1">B32*EXP(($G$2-$G$3)*(($G$4-A32)/252))</f>
        <v>100.18564417676545</v>
      </c>
      <c r="D32" s="13">
        <f t="shared" ca="1" si="0"/>
        <v>100.37366847729339</v>
      </c>
    </row>
    <row r="33" spans="1:4" x14ac:dyDescent="0.3">
      <c r="A33" s="2">
        <v>32</v>
      </c>
      <c r="B33" s="13">
        <f ca="1">'일자별 시가총액'!H33</f>
        <v>98.575784738955818</v>
      </c>
      <c r="C33" s="13">
        <f ca="1">B33*EXP(($G$2-$G$3)*(($G$4-A33)/252))</f>
        <v>98.666774603626706</v>
      </c>
      <c r="D33" s="13">
        <f t="shared" ca="1" si="0"/>
        <v>98.85194835214763</v>
      </c>
    </row>
    <row r="34" spans="1:4" x14ac:dyDescent="0.3">
      <c r="A34" s="2">
        <v>33</v>
      </c>
      <c r="B34" s="13">
        <f ca="1">'일자별 시가총액'!H34</f>
        <v>98.85418313253011</v>
      </c>
      <c r="C34" s="13">
        <f ca="1">B34*EXP(($G$2-$G$3)*(($G$4-A34)/252))</f>
        <v>98.942485210745772</v>
      </c>
      <c r="D34" s="13">
        <f t="shared" ca="1" si="0"/>
        <v>99.128176401605643</v>
      </c>
    </row>
    <row r="35" spans="1:4" x14ac:dyDescent="0.3">
      <c r="A35" s="2">
        <v>34</v>
      </c>
      <c r="B35" s="13">
        <f ca="1">'일자별 시가총액'!H35</f>
        <v>99.761151807228927</v>
      </c>
      <c r="C35" s="13">
        <f ca="1">B35*EXP(($G$2-$G$3)*(($G$4-A35)/252))</f>
        <v>99.847292350699661</v>
      </c>
      <c r="D35" s="13">
        <f t="shared" ca="1" si="0"/>
        <v>100.03468164642275</v>
      </c>
    </row>
    <row r="36" spans="1:4" x14ac:dyDescent="0.3">
      <c r="A36" s="2">
        <v>35</v>
      </c>
      <c r="B36" s="13">
        <f ca="1">'일자별 시가총액'!H36</f>
        <v>100.75092208835341</v>
      </c>
      <c r="C36" s="13">
        <f ca="1">B36*EXP(($G$2-$G$3)*(($G$4-A36)/252))</f>
        <v>100.83491618277229</v>
      </c>
      <c r="D36" s="13">
        <f t="shared" ca="1" si="0"/>
        <v>101.02415901032356</v>
      </c>
    </row>
    <row r="37" spans="1:4" x14ac:dyDescent="0.3">
      <c r="A37" s="2">
        <v>36</v>
      </c>
      <c r="B37" s="13">
        <f ca="1">'일자별 시가총액'!H37</f>
        <v>100.52245461847389</v>
      </c>
      <c r="C37" s="13">
        <f ca="1">B37*EXP(($G$2-$G$3)*(($G$4-A37)/252))</f>
        <v>100.60326405466378</v>
      </c>
      <c r="D37" s="13">
        <f t="shared" ca="1" si="0"/>
        <v>100.79207212701925</v>
      </c>
    </row>
    <row r="38" spans="1:4" x14ac:dyDescent="0.3">
      <c r="A38" s="2">
        <v>37</v>
      </c>
      <c r="B38" s="13">
        <f ca="1">'일자별 시가총액'!H38</f>
        <v>100.09918714859438</v>
      </c>
      <c r="C38" s="13">
        <f ca="1">B38*EXP(($G$2-$G$3)*(($G$4-A38)/252))</f>
        <v>100.17667482942174</v>
      </c>
      <c r="D38" s="13">
        <f t="shared" ca="1" si="0"/>
        <v>100.36468229664712</v>
      </c>
    </row>
    <row r="39" spans="1:4" x14ac:dyDescent="0.3">
      <c r="A39" s="2">
        <v>38</v>
      </c>
      <c r="B39" s="13">
        <f ca="1">'일자별 시가총액'!H39</f>
        <v>98.294562248995987</v>
      </c>
      <c r="C39" s="13">
        <f ca="1">B39*EXP(($G$2-$G$3)*(($G$4-A39)/252))</f>
        <v>98.367725299023974</v>
      </c>
      <c r="D39" s="13">
        <f t="shared" ca="1" si="0"/>
        <v>98.552337804097448</v>
      </c>
    </row>
    <row r="40" spans="1:4" x14ac:dyDescent="0.3">
      <c r="A40" s="2">
        <v>39</v>
      </c>
      <c r="B40" s="13">
        <f ca="1">'일자별 시가총액'!H40</f>
        <v>96.30014136546184</v>
      </c>
      <c r="C40" s="13">
        <f ca="1">B40*EXP(($G$2-$G$3)*(($G$4-A40)/252))</f>
        <v>96.368951752935644</v>
      </c>
      <c r="D40" s="13">
        <f t="shared" ca="1" si="0"/>
        <v>96.549813041944162</v>
      </c>
    </row>
    <row r="41" spans="1:4" x14ac:dyDescent="0.3">
      <c r="A41" s="2">
        <v>40</v>
      </c>
      <c r="B41" s="13">
        <f ca="1">'일자별 시가총액'!H41</f>
        <v>95.806477108433725</v>
      </c>
      <c r="C41" s="13">
        <f ca="1">B41*EXP(($G$2-$G$3)*(($G$4-A41)/252))</f>
        <v>95.872081374400381</v>
      </c>
      <c r="D41" s="13">
        <f t="shared" ca="1" si="0"/>
        <v>96.052010157498017</v>
      </c>
    </row>
    <row r="42" spans="1:4" x14ac:dyDescent="0.3">
      <c r="A42" s="2">
        <v>41</v>
      </c>
      <c r="B42" s="13">
        <f ca="1">'일자별 시가총액'!H42</f>
        <v>96.612408032128513</v>
      </c>
      <c r="C42" s="13">
        <f ca="1">B42*EXP(($G$2-$G$3)*(($G$4-A42)/252))</f>
        <v>96.675686870460908</v>
      </c>
      <c r="D42" s="13">
        <f t="shared" ca="1" si="0"/>
        <v>96.857123827334732</v>
      </c>
    </row>
    <row r="43" spans="1:4" x14ac:dyDescent="0.3">
      <c r="A43" s="2">
        <v>42</v>
      </c>
      <c r="B43" s="13">
        <f ca="1">'일자별 시가총액'!H43</f>
        <v>97.094077108433723</v>
      </c>
      <c r="C43" s="13">
        <f ca="1">B43*EXP(($G$2-$G$3)*(($G$4-A43)/252))</f>
        <v>97.154779874264804</v>
      </c>
      <c r="D43" s="13">
        <f t="shared" ca="1" si="0"/>
        <v>97.337115973203055</v>
      </c>
    </row>
    <row r="44" spans="1:4" x14ac:dyDescent="0.3">
      <c r="A44" s="2">
        <v>43</v>
      </c>
      <c r="B44" s="13">
        <f ca="1">'일자별 시가총액'!H44</f>
        <v>96.541543775100408</v>
      </c>
      <c r="C44" s="13">
        <f ca="1">B44*EXP(($G$2-$G$3)*(($G$4-A44)/252))</f>
        <v>96.599026085861823</v>
      </c>
      <c r="D44" s="13">
        <f t="shared" ca="1" si="0"/>
        <v>96.780319168924976</v>
      </c>
    </row>
    <row r="45" spans="1:4" x14ac:dyDescent="0.3">
      <c r="A45" s="2">
        <v>44</v>
      </c>
      <c r="B45" s="13">
        <f ca="1">'일자별 시가총액'!H45</f>
        <v>96.931982329317265</v>
      </c>
      <c r="C45" s="13">
        <f ca="1">B45*EXP(($G$2-$G$3)*(($G$4-A45)/252))</f>
        <v>96.986810557988093</v>
      </c>
      <c r="D45" s="13">
        <f t="shared" ca="1" si="0"/>
        <v>97.168831419015092</v>
      </c>
    </row>
    <row r="46" spans="1:4" x14ac:dyDescent="0.3">
      <c r="A46" s="2">
        <v>45</v>
      </c>
      <c r="B46" s="13">
        <f ca="1">'일자별 시가총액'!H46</f>
        <v>96.797902008032139</v>
      </c>
      <c r="C46" s="13">
        <f ca="1">B46*EXP(($G$2-$G$3)*(($G$4-A46)/252))</f>
        <v>96.849771919450774</v>
      </c>
      <c r="D46" s="13">
        <f t="shared" ca="1" si="0"/>
        <v>97.03153559199167</v>
      </c>
    </row>
    <row r="47" spans="1:4" x14ac:dyDescent="0.3">
      <c r="A47" s="2">
        <v>46</v>
      </c>
      <c r="B47" s="13">
        <f ca="1">'일자별 시가총액'!H47</f>
        <v>97.583636947791163</v>
      </c>
      <c r="C47" s="13">
        <f ca="1">B47*EXP(($G$2-$G$3)*(($G$4-A47)/252))</f>
        <v>97.633022113464463</v>
      </c>
      <c r="D47" s="13">
        <f t="shared" ca="1" si="0"/>
        <v>97.816255757787033</v>
      </c>
    </row>
    <row r="48" spans="1:4" x14ac:dyDescent="0.3">
      <c r="A48" s="2">
        <v>47</v>
      </c>
      <c r="B48" s="13">
        <f ca="1">'일자별 시가총액'!H48</f>
        <v>98.189167871485935</v>
      </c>
      <c r="C48" s="13">
        <f ca="1">B48*EXP(($G$2-$G$3)*(($G$4-A48)/252))</f>
        <v>98.235935752417404</v>
      </c>
      <c r="D48" s="13">
        <f t="shared" ca="1" si="0"/>
        <v>98.420300920284831</v>
      </c>
    </row>
    <row r="49" spans="1:4" x14ac:dyDescent="0.3">
      <c r="A49" s="2">
        <v>48</v>
      </c>
      <c r="B49" s="13">
        <f ca="1">'일자별 시가총액'!H49</f>
        <v>97.826477108433735</v>
      </c>
      <c r="C49" s="13">
        <f ca="1">B49*EXP(($G$2-$G$3)*(($G$4-A49)/252))</f>
        <v>97.87015939264154</v>
      </c>
      <c r="D49" s="13">
        <f t="shared" ca="1" si="0"/>
        <v>98.053838086466072</v>
      </c>
    </row>
    <row r="50" spans="1:4" x14ac:dyDescent="0.3">
      <c r="A50" s="2">
        <v>49</v>
      </c>
      <c r="B50" s="13">
        <f ca="1">'일자별 시가총액'!H50</f>
        <v>97.735768674698804</v>
      </c>
      <c r="C50" s="13">
        <f ca="1">B50*EXP(($G$2-$G$3)*(($G$4-A50)/252))</f>
        <v>97.776500396832745</v>
      </c>
      <c r="D50" s="13">
        <f t="shared" ca="1" si="0"/>
        <v>97.960003315302259</v>
      </c>
    </row>
    <row r="51" spans="1:4" x14ac:dyDescent="0.3">
      <c r="A51" s="2">
        <v>50</v>
      </c>
      <c r="B51" s="13">
        <f ca="1">'일자별 시가총액'!H51</f>
        <v>97.476157429718882</v>
      </c>
      <c r="C51" s="13">
        <f ca="1">B51*EXP(($G$2-$G$3)*(($G$4-A51)/252))</f>
        <v>97.513878716002694</v>
      </c>
      <c r="D51" s="13">
        <f t="shared" ca="1" si="0"/>
        <v>97.696888756892321</v>
      </c>
    </row>
    <row r="52" spans="1:4" x14ac:dyDescent="0.3">
      <c r="A52" s="2">
        <v>51</v>
      </c>
      <c r="B52" s="13">
        <f ca="1">'일자별 시가총액'!H52</f>
        <v>96.568620080321281</v>
      </c>
      <c r="C52" s="13">
        <f ca="1">B52*EXP(($G$2-$G$3)*(($G$4-A52)/252))</f>
        <v>96.603115032653363</v>
      </c>
      <c r="D52" s="13">
        <f t="shared" ca="1" si="0"/>
        <v>96.784415789683862</v>
      </c>
    </row>
    <row r="53" spans="1:4" x14ac:dyDescent="0.3">
      <c r="A53" s="2">
        <v>52</v>
      </c>
      <c r="B53" s="13">
        <f ca="1">'일자별 시가총액'!H53</f>
        <v>94.881661044176695</v>
      </c>
      <c r="C53" s="13">
        <f ca="1">B53*EXP(($G$2-$G$3)*(($G$4-A53)/252))</f>
        <v>94.912728577914734</v>
      </c>
      <c r="D53" s="13">
        <f t="shared" ca="1" si="0"/>
        <v>95.090856887102149</v>
      </c>
    </row>
    <row r="54" spans="1:4" x14ac:dyDescent="0.3">
      <c r="A54" s="2">
        <v>53</v>
      </c>
      <c r="B54" s="13">
        <f ca="1">'일자별 시가총액'!H54</f>
        <v>96.531885943775094</v>
      </c>
      <c r="C54" s="13">
        <f ca="1">B54*EXP(($G$2-$G$3)*(($G$4-A54)/252))</f>
        <v>96.560619947415844</v>
      </c>
      <c r="D54" s="13">
        <f t="shared" ca="1" si="0"/>
        <v>96.741840951416407</v>
      </c>
    </row>
    <row r="55" spans="1:4" x14ac:dyDescent="0.3">
      <c r="A55" s="2">
        <v>54</v>
      </c>
      <c r="B55" s="13">
        <f ca="1">'일자별 시가총액'!H55</f>
        <v>95.438414457831328</v>
      </c>
      <c r="C55" s="13">
        <f ca="1">B55*EXP(($G$2-$G$3)*(($G$4-A55)/252))</f>
        <v>95.463981742883917</v>
      </c>
      <c r="D55" s="13">
        <f t="shared" ca="1" si="0"/>
        <v>95.643144621361273</v>
      </c>
    </row>
    <row r="56" spans="1:4" x14ac:dyDescent="0.3">
      <c r="A56" s="2">
        <v>55</v>
      </c>
      <c r="B56" s="13">
        <f ca="1">'일자별 시가총액'!H56</f>
        <v>95.97067791164659</v>
      </c>
      <c r="C56" s="13">
        <f ca="1">B56*EXP(($G$2-$G$3)*(($G$4-A56)/252))</f>
        <v>95.993530793527341</v>
      </c>
      <c r="D56" s="13">
        <f t="shared" ca="1" si="0"/>
        <v>96.17368750790466</v>
      </c>
    </row>
    <row r="57" spans="1:4" x14ac:dyDescent="0.3">
      <c r="A57" s="2">
        <v>56</v>
      </c>
      <c r="B57" s="13">
        <f ca="1">'일자별 시가총액'!H57</f>
        <v>95.307553413654617</v>
      </c>
      <c r="C57" s="13">
        <f ca="1">B57*EXP(($G$2-$G$3)*(($G$4-A57)/252))</f>
        <v>95.32741122239905</v>
      </c>
      <c r="D57" s="13">
        <f t="shared" ca="1" si="0"/>
        <v>95.506317790935015</v>
      </c>
    </row>
    <row r="58" spans="1:4" x14ac:dyDescent="0.3">
      <c r="A58" s="2">
        <v>57</v>
      </c>
      <c r="B58" s="13">
        <f ca="1">'일자별 시가총액'!H58</f>
        <v>95.809628915662643</v>
      </c>
      <c r="C58" s="13">
        <f ca="1">B58*EXP(($G$2-$G$3)*(($G$4-A58)/252))</f>
        <v>95.826739305636949</v>
      </c>
      <c r="D58" s="13">
        <f t="shared" ca="1" si="0"/>
        <v>96.006582992602958</v>
      </c>
    </row>
    <row r="59" spans="1:4" x14ac:dyDescent="0.3">
      <c r="A59" s="2">
        <v>58</v>
      </c>
      <c r="B59" s="13">
        <f ca="1">'일자별 시가총액'!H59</f>
        <v>96.032072289156616</v>
      </c>
      <c r="C59" s="13">
        <f ca="1">B59*EXP(($G$2-$G$3)*(($G$4-A59)/252))</f>
        <v>96.046363839437433</v>
      </c>
      <c r="D59" s="13">
        <f t="shared" ca="1" si="0"/>
        <v>96.22661970870449</v>
      </c>
    </row>
    <row r="60" spans="1:4" x14ac:dyDescent="0.3">
      <c r="A60" s="2">
        <v>59</v>
      </c>
      <c r="B60" s="13">
        <f ca="1">'일자별 시가총액'!H60</f>
        <v>95.635418473895584</v>
      </c>
      <c r="C60" s="13">
        <f ca="1">B60*EXP(($G$2-$G$3)*(($G$4-A60)/252))</f>
        <v>95.646804320477031</v>
      </c>
      <c r="D60" s="13">
        <f t="shared" ca="1" si="0"/>
        <v>95.826310312856137</v>
      </c>
    </row>
    <row r="61" spans="1:4" x14ac:dyDescent="0.3">
      <c r="A61" s="2">
        <v>60</v>
      </c>
      <c r="B61" s="13">
        <f ca="1">'일자별 시가총액'!H61</f>
        <v>96.415212851405613</v>
      </c>
      <c r="C61" s="13">
        <f ca="1">B61*EXP(($G$2-$G$3)*(($G$4-A61)/252))</f>
        <v>96.423821736872583</v>
      </c>
      <c r="D61" s="13">
        <f t="shared" ca="1" si="0"/>
        <v>96.604786003612418</v>
      </c>
    </row>
    <row r="62" spans="1:4" x14ac:dyDescent="0.3">
      <c r="A62" s="2">
        <v>61</v>
      </c>
      <c r="B62" s="13">
        <f ca="1">'일자별 시가총액'!H62</f>
        <v>96.00556465863454</v>
      </c>
      <c r="C62" s="13">
        <f ca="1">B62*EXP(($G$2-$G$3)*(($G$4-A62)/252))</f>
        <v>96.011279445659767</v>
      </c>
      <c r="D62" s="13">
        <f t="shared" ca="1" si="0"/>
        <v>96.191469469978145</v>
      </c>
    </row>
    <row r="63" spans="1:4" x14ac:dyDescent="0.3">
      <c r="A63" s="2">
        <v>62</v>
      </c>
      <c r="B63" s="13">
        <f ca="1">'일자별 시가총액'!H63</f>
        <v>95.822780722891565</v>
      </c>
      <c r="C63" s="13">
        <f ca="1">B63*EXP(($G$2-$G$3)*(($G$4-A63)/252))</f>
        <v>95.825632633804389</v>
      </c>
      <c r="D63" s="13">
        <f t="shared" ca="1" si="0"/>
        <v>96.005474243814191</v>
      </c>
    </row>
    <row r="64" spans="1:4" x14ac:dyDescent="0.3">
      <c r="A64" s="2">
        <v>63</v>
      </c>
      <c r="B64" s="13">
        <f ca="1">'일자별 시가총액'!H64</f>
        <v>96.382226506024097</v>
      </c>
      <c r="C64" s="13">
        <f ca="1">B64*EXP(($G$2-$G$3)*(($G$4-A64)/252))</f>
        <v>96.382226506024097</v>
      </c>
      <c r="D64" s="13">
        <f t="shared" ca="1" si="0"/>
        <v>96.563112708543756</v>
      </c>
    </row>
    <row r="65" spans="1:4" x14ac:dyDescent="0.3">
      <c r="A65" s="2">
        <v>64</v>
      </c>
      <c r="B65" s="13">
        <f ca="1">'일자별 시가총액'!H65</f>
        <v>97.061113253012039</v>
      </c>
      <c r="C65" s="13"/>
      <c r="D65" s="13">
        <f t="shared" ca="1" si="0"/>
        <v>97.240379460304823</v>
      </c>
    </row>
    <row r="66" spans="1:4" x14ac:dyDescent="0.3">
      <c r="A66" s="2">
        <v>65</v>
      </c>
      <c r="B66" s="13">
        <f ca="1">'일자별 시가총액'!H66</f>
        <v>96.275045783132526</v>
      </c>
      <c r="C66" s="13"/>
      <c r="D66" s="13">
        <f t="shared" ca="1" si="0"/>
        <v>96.449989591597728</v>
      </c>
    </row>
    <row r="67" spans="1:4" x14ac:dyDescent="0.3">
      <c r="A67" s="2">
        <v>66</v>
      </c>
      <c r="B67" s="13">
        <f ca="1">'일자별 시가총액'!H67</f>
        <v>95.590237751004011</v>
      </c>
      <c r="C67" s="13"/>
      <c r="D67" s="13">
        <f t="shared" ref="D67:D130" ca="1" si="1">B67*EXP(($G$2-$G$3)*(($G$5-A67)/252))</f>
        <v>95.761087102794875</v>
      </c>
    </row>
    <row r="68" spans="1:4" x14ac:dyDescent="0.3">
      <c r="A68" s="2">
        <v>67</v>
      </c>
      <c r="B68" s="13">
        <f ca="1">'일자별 시가총액'!H68</f>
        <v>96.617545381526099</v>
      </c>
      <c r="C68" s="13"/>
      <c r="D68" s="13">
        <f t="shared" ca="1" si="1"/>
        <v>96.787350231364854</v>
      </c>
    </row>
    <row r="69" spans="1:4" x14ac:dyDescent="0.3">
      <c r="A69" s="2">
        <v>68</v>
      </c>
      <c r="B69" s="13">
        <f ca="1">'일자별 시가총액'!H69</f>
        <v>96.4779437751004</v>
      </c>
      <c r="C69" s="13"/>
      <c r="D69" s="13">
        <f t="shared" ca="1" si="1"/>
        <v>96.6446269048337</v>
      </c>
    </row>
    <row r="70" spans="1:4" x14ac:dyDescent="0.3">
      <c r="A70" s="2">
        <v>69</v>
      </c>
      <c r="B70" s="13">
        <f ca="1">'일자별 시가총액'!H70</f>
        <v>97.522941365461847</v>
      </c>
      <c r="C70" s="13"/>
      <c r="D70" s="13">
        <f t="shared" ca="1" si="1"/>
        <v>97.688522478119111</v>
      </c>
    </row>
    <row r="71" spans="1:4" x14ac:dyDescent="0.3">
      <c r="A71" s="2">
        <v>70</v>
      </c>
      <c r="B71" s="13">
        <f ca="1">'일자별 시가총액'!H71</f>
        <v>97.345959839357434</v>
      </c>
      <c r="C71" s="13"/>
      <c r="D71" s="13">
        <f t="shared" ca="1" si="1"/>
        <v>97.508338383622288</v>
      </c>
    </row>
    <row r="72" spans="1:4" x14ac:dyDescent="0.3">
      <c r="A72" s="2">
        <v>71</v>
      </c>
      <c r="B72" s="13">
        <f ca="1">'일자별 시가총액'!H72</f>
        <v>97.700584738955826</v>
      </c>
      <c r="C72" s="13"/>
      <c r="D72" s="13">
        <f t="shared" ca="1" si="1"/>
        <v>97.860642255072122</v>
      </c>
    </row>
    <row r="73" spans="1:4" x14ac:dyDescent="0.3">
      <c r="A73" s="2">
        <v>72</v>
      </c>
      <c r="B73" s="13">
        <f ca="1">'일자별 시가총액'!H73</f>
        <v>98.424499598393581</v>
      </c>
      <c r="C73" s="13"/>
      <c r="D73" s="13">
        <f t="shared" ca="1" si="1"/>
        <v>98.58280900873514</v>
      </c>
    </row>
    <row r="74" spans="1:4" x14ac:dyDescent="0.3">
      <c r="A74" s="2">
        <v>73</v>
      </c>
      <c r="B74" s="13">
        <f ca="1">'일자별 시가총액'!H74</f>
        <v>98.388788755020087</v>
      </c>
      <c r="C74" s="13"/>
      <c r="D74" s="13">
        <f t="shared" ca="1" si="1"/>
        <v>98.544107822795098</v>
      </c>
    </row>
    <row r="75" spans="1:4" x14ac:dyDescent="0.3">
      <c r="A75" s="2">
        <v>74</v>
      </c>
      <c r="B75" s="13">
        <f ca="1">'일자별 시가총액'!H75</f>
        <v>100.12946506024096</v>
      </c>
      <c r="C75" s="13"/>
      <c r="D75" s="13">
        <f t="shared" ca="1" si="1"/>
        <v>100.28454730075734</v>
      </c>
    </row>
    <row r="76" spans="1:4" x14ac:dyDescent="0.3">
      <c r="A76" s="2">
        <v>75</v>
      </c>
      <c r="B76" s="13">
        <f ca="1">'일자별 시가총액'!H76</f>
        <v>100.26805140562249</v>
      </c>
      <c r="C76" s="13"/>
      <c r="D76" s="13">
        <f t="shared" ca="1" si="1"/>
        <v>100.42035954540606</v>
      </c>
    </row>
    <row r="77" spans="1:4" x14ac:dyDescent="0.3">
      <c r="A77" s="2">
        <v>76</v>
      </c>
      <c r="B77" s="13">
        <f ca="1">'일자별 시가총액'!H77</f>
        <v>100.17585542168675</v>
      </c>
      <c r="C77" s="13"/>
      <c r="D77" s="13">
        <f t="shared" ca="1" si="1"/>
        <v>100.32503760623167</v>
      </c>
    </row>
    <row r="78" spans="1:4" x14ac:dyDescent="0.3">
      <c r="A78" s="2">
        <v>77</v>
      </c>
      <c r="B78" s="13">
        <f ca="1">'일자별 시가총액'!H78</f>
        <v>100.73073253012048</v>
      </c>
      <c r="C78" s="13"/>
      <c r="D78" s="13">
        <f t="shared" ca="1" si="1"/>
        <v>100.87773868099164</v>
      </c>
    </row>
    <row r="79" spans="1:4" x14ac:dyDescent="0.3">
      <c r="A79" s="2">
        <v>78</v>
      </c>
      <c r="B79" s="13">
        <f ca="1">'일자별 시가총액'!H79</f>
        <v>101.70924016064258</v>
      </c>
      <c r="C79" s="13"/>
      <c r="D79" s="13">
        <f t="shared" ca="1" si="1"/>
        <v>101.85464290953577</v>
      </c>
    </row>
    <row r="80" spans="1:4" x14ac:dyDescent="0.3">
      <c r="A80" s="2">
        <v>79</v>
      </c>
      <c r="B80" s="13">
        <f ca="1">'일자별 시가총액'!H80</f>
        <v>100.60015742971888</v>
      </c>
      <c r="C80" s="13"/>
      <c r="D80" s="13">
        <f t="shared" ca="1" si="1"/>
        <v>100.74097635449354</v>
      </c>
    </row>
    <row r="81" spans="1:4" x14ac:dyDescent="0.3">
      <c r="A81" s="2">
        <v>80</v>
      </c>
      <c r="B81" s="13">
        <f ca="1">'일자별 시가총액'!H81</f>
        <v>100.17970602409638</v>
      </c>
      <c r="C81" s="13"/>
      <c r="D81" s="13">
        <f t="shared" ca="1" si="1"/>
        <v>100.31695073794353</v>
      </c>
    </row>
    <row r="82" spans="1:4" x14ac:dyDescent="0.3">
      <c r="A82" s="2">
        <v>81</v>
      </c>
      <c r="B82" s="13">
        <f ca="1">'일자별 시가총액'!H82</f>
        <v>100.29968995983936</v>
      </c>
      <c r="C82" s="13"/>
      <c r="D82" s="13">
        <f t="shared" ca="1" si="1"/>
        <v>100.43410989500704</v>
      </c>
    </row>
    <row r="83" spans="1:4" x14ac:dyDescent="0.3">
      <c r="A83" s="2">
        <v>82</v>
      </c>
      <c r="B83" s="13">
        <f ca="1">'일자별 시가총액'!H83</f>
        <v>99.801021686746992</v>
      </c>
      <c r="C83" s="13"/>
      <c r="D83" s="13">
        <f t="shared" ca="1" si="1"/>
        <v>99.931799110246828</v>
      </c>
    </row>
    <row r="84" spans="1:4" x14ac:dyDescent="0.3">
      <c r="A84" s="2">
        <v>83</v>
      </c>
      <c r="B84" s="13">
        <f ca="1">'일자별 시가총액'!H84</f>
        <v>98.804212048192781</v>
      </c>
      <c r="C84" s="13"/>
      <c r="D84" s="13">
        <f t="shared" ca="1" si="1"/>
        <v>98.930738859629983</v>
      </c>
    </row>
    <row r="85" spans="1:4" x14ac:dyDescent="0.3">
      <c r="A85" s="2">
        <v>84</v>
      </c>
      <c r="B85" s="13">
        <f ca="1">'일자별 시가총액'!H85</f>
        <v>99.199042570281122</v>
      </c>
      <c r="C85" s="13"/>
      <c r="D85" s="13">
        <f t="shared" ca="1" si="1"/>
        <v>99.323118905047437</v>
      </c>
    </row>
    <row r="86" spans="1:4" x14ac:dyDescent="0.3">
      <c r="A86" s="2">
        <v>85</v>
      </c>
      <c r="B86" s="13">
        <f ca="1">'일자별 시가총액'!H86</f>
        <v>97.790165461847394</v>
      </c>
      <c r="C86" s="13"/>
      <c r="D86" s="13">
        <f t="shared" ca="1" si="1"/>
        <v>97.909565580554911</v>
      </c>
    </row>
    <row r="87" spans="1:4" x14ac:dyDescent="0.3">
      <c r="A87" s="2">
        <v>86</v>
      </c>
      <c r="B87" s="13">
        <f ca="1">'일자별 시가총액'!H87</f>
        <v>98.231974297188756</v>
      </c>
      <c r="C87" s="13"/>
      <c r="D87" s="13">
        <f t="shared" ca="1" si="1"/>
        <v>98.348986760189135</v>
      </c>
    </row>
    <row r="88" spans="1:4" x14ac:dyDescent="0.3">
      <c r="A88" s="2">
        <v>87</v>
      </c>
      <c r="B88" s="13">
        <f ca="1">'일자별 시가총액'!H88</f>
        <v>99.568682730923697</v>
      </c>
      <c r="C88" s="13"/>
      <c r="D88" s="13">
        <f t="shared" ca="1" si="1"/>
        <v>99.684320621672271</v>
      </c>
    </row>
    <row r="89" spans="1:4" x14ac:dyDescent="0.3">
      <c r="A89" s="2">
        <v>88</v>
      </c>
      <c r="B89" s="13">
        <f ca="1">'일자별 시가총액'!H89</f>
        <v>101.70002891566266</v>
      </c>
      <c r="C89" s="13"/>
      <c r="D89" s="13">
        <f t="shared" ca="1" si="1"/>
        <v>101.81511186991187</v>
      </c>
    </row>
    <row r="90" spans="1:4" x14ac:dyDescent="0.3">
      <c r="A90" s="2">
        <v>89</v>
      </c>
      <c r="B90" s="13">
        <f ca="1">'일자별 시가총액'!H90</f>
        <v>101.79689156626506</v>
      </c>
      <c r="C90" s="13"/>
      <c r="D90" s="13">
        <f t="shared" ca="1" si="1"/>
        <v>101.9090510769222</v>
      </c>
    </row>
    <row r="91" spans="1:4" x14ac:dyDescent="0.3">
      <c r="A91" s="2">
        <v>90</v>
      </c>
      <c r="B91" s="13">
        <f ca="1">'일자별 시가총액'!H91</f>
        <v>102.11428273092369</v>
      </c>
      <c r="C91" s="13"/>
      <c r="D91" s="13">
        <f t="shared" ca="1" si="1"/>
        <v>102.22374952344515</v>
      </c>
    </row>
    <row r="92" spans="1:4" x14ac:dyDescent="0.3">
      <c r="A92" s="2">
        <v>91</v>
      </c>
      <c r="B92" s="13">
        <f ca="1">'일자별 시가총액'!H92</f>
        <v>101.45927228915663</v>
      </c>
      <c r="C92" s="13"/>
      <c r="D92" s="13">
        <f t="shared" ca="1" si="1"/>
        <v>101.56501409542051</v>
      </c>
    </row>
    <row r="93" spans="1:4" x14ac:dyDescent="0.3">
      <c r="A93" s="2">
        <v>92</v>
      </c>
      <c r="B93" s="13">
        <f ca="1">'일자별 시가총액'!H93</f>
        <v>99.738030522088351</v>
      </c>
      <c r="C93" s="13"/>
      <c r="D93" s="13">
        <f t="shared" ca="1" si="1"/>
        <v>99.83900699078518</v>
      </c>
    </row>
    <row r="94" spans="1:4" x14ac:dyDescent="0.3">
      <c r="A94" s="2">
        <v>93</v>
      </c>
      <c r="B94" s="13">
        <f ca="1">'일자별 시가총액'!H94</f>
        <v>99.927034538152611</v>
      </c>
      <c r="C94" s="13"/>
      <c r="D94" s="13">
        <f t="shared" ca="1" si="1"/>
        <v>100.02522537217992</v>
      </c>
    </row>
    <row r="95" spans="1:4" x14ac:dyDescent="0.3">
      <c r="A95" s="2">
        <v>94</v>
      </c>
      <c r="B95" s="13">
        <f ca="1">'일자별 시가총액'!H95</f>
        <v>101.46598232931727</v>
      </c>
      <c r="C95" s="13"/>
      <c r="D95" s="13">
        <f t="shared" ca="1" si="1"/>
        <v>101.56266262913269</v>
      </c>
    </row>
    <row r="96" spans="1:4" x14ac:dyDescent="0.3">
      <c r="A96" s="2">
        <v>95</v>
      </c>
      <c r="B96" s="13">
        <f ca="1">'일자별 시가총액'!H96</f>
        <v>103.01241124497993</v>
      </c>
      <c r="C96" s="13"/>
      <c r="D96" s="13">
        <f t="shared" ca="1" si="1"/>
        <v>103.10749631463901</v>
      </c>
    </row>
    <row r="97" spans="1:4" x14ac:dyDescent="0.3">
      <c r="A97" s="2">
        <v>96</v>
      </c>
      <c r="B97" s="13">
        <f ca="1">'일자별 시가총액'!H97</f>
        <v>101.77891887550201</v>
      </c>
      <c r="C97" s="13"/>
      <c r="D97" s="13">
        <f t="shared" ca="1" si="1"/>
        <v>101.86983349105452</v>
      </c>
    </row>
    <row r="98" spans="1:4" x14ac:dyDescent="0.3">
      <c r="A98" s="2">
        <v>97</v>
      </c>
      <c r="B98" s="13">
        <f ca="1">'일자별 시가총액'!H98</f>
        <v>102.0971983935743</v>
      </c>
      <c r="C98" s="13"/>
      <c r="D98" s="13">
        <f t="shared" ca="1" si="1"/>
        <v>102.18535603807962</v>
      </c>
    </row>
    <row r="99" spans="1:4" x14ac:dyDescent="0.3">
      <c r="A99" s="2">
        <v>98</v>
      </c>
      <c r="B99" s="13">
        <f ca="1">'일자별 시가총액'!H99</f>
        <v>102.01386987951808</v>
      </c>
      <c r="C99" s="13"/>
      <c r="D99" s="13">
        <f t="shared" ca="1" si="1"/>
        <v>102.09891686907497</v>
      </c>
    </row>
    <row r="100" spans="1:4" x14ac:dyDescent="0.3">
      <c r="A100" s="2">
        <v>99</v>
      </c>
      <c r="B100" s="13">
        <f ca="1">'일자별 시가총액'!H100</f>
        <v>102.25421686746986</v>
      </c>
      <c r="C100" s="13"/>
      <c r="D100" s="13">
        <f t="shared" ca="1" si="1"/>
        <v>102.33641845759679</v>
      </c>
    </row>
    <row r="101" spans="1:4" x14ac:dyDescent="0.3">
      <c r="A101" s="2">
        <v>100</v>
      </c>
      <c r="B101" s="13">
        <f ca="1">'일자별 시가총액'!H101</f>
        <v>102.50072931726908</v>
      </c>
      <c r="C101" s="13"/>
      <c r="D101" s="13">
        <f t="shared" ca="1" si="1"/>
        <v>102.580076053483</v>
      </c>
    </row>
    <row r="102" spans="1:4" x14ac:dyDescent="0.3">
      <c r="A102" s="2">
        <v>101</v>
      </c>
      <c r="B102" s="13">
        <f ca="1">'일자별 시가총액'!H102</f>
        <v>102.0529172690763</v>
      </c>
      <c r="C102" s="13"/>
      <c r="D102" s="13">
        <f t="shared" ca="1" si="1"/>
        <v>102.12887775479214</v>
      </c>
    </row>
    <row r="103" spans="1:4" x14ac:dyDescent="0.3">
      <c r="A103" s="2">
        <v>102</v>
      </c>
      <c r="B103" s="13">
        <f ca="1">'일자별 시가총액'!H103</f>
        <v>103.12964979919678</v>
      </c>
      <c r="C103" s="13"/>
      <c r="D103" s="13">
        <f t="shared" ca="1" si="1"/>
        <v>103.20334014961684</v>
      </c>
    </row>
    <row r="104" spans="1:4" x14ac:dyDescent="0.3">
      <c r="A104" s="2">
        <v>103</v>
      </c>
      <c r="B104" s="13">
        <f ca="1">'일자별 시가총액'!H104</f>
        <v>103.8705718875502</v>
      </c>
      <c r="C104" s="13"/>
      <c r="D104" s="13">
        <f t="shared" ca="1" si="1"/>
        <v>103.9416981081345</v>
      </c>
    </row>
    <row r="105" spans="1:4" x14ac:dyDescent="0.3">
      <c r="A105" s="2">
        <v>104</v>
      </c>
      <c r="B105" s="13">
        <f ca="1">'일자별 시가총액'!H105</f>
        <v>103.06700080321285</v>
      </c>
      <c r="C105" s="13"/>
      <c r="D105" s="13">
        <f t="shared" ca="1" si="1"/>
        <v>103.13450724688893</v>
      </c>
    </row>
    <row r="106" spans="1:4" x14ac:dyDescent="0.3">
      <c r="A106" s="2">
        <v>105</v>
      </c>
      <c r="B106" s="13">
        <f ca="1">'일자별 시가총액'!H106</f>
        <v>101.63543935742972</v>
      </c>
      <c r="C106" s="13"/>
      <c r="D106" s="13">
        <f t="shared" ca="1" si="1"/>
        <v>101.69898136183606</v>
      </c>
    </row>
    <row r="107" spans="1:4" x14ac:dyDescent="0.3">
      <c r="A107" s="2">
        <v>106</v>
      </c>
      <c r="B107" s="13">
        <f ca="1">'일자별 시가총액'!H107</f>
        <v>103.76476465863453</v>
      </c>
      <c r="C107" s="13"/>
      <c r="D107" s="13">
        <f t="shared" ca="1" si="1"/>
        <v>103.82654778551395</v>
      </c>
    </row>
    <row r="108" spans="1:4" x14ac:dyDescent="0.3">
      <c r="A108" s="2">
        <v>107</v>
      </c>
      <c r="B108" s="13">
        <f ca="1">'일자별 시가총액'!H108</f>
        <v>103.77724658634537</v>
      </c>
      <c r="C108" s="13"/>
      <c r="D108" s="13">
        <f t="shared" ca="1" si="1"/>
        <v>103.8359467436096</v>
      </c>
    </row>
    <row r="109" spans="1:4" x14ac:dyDescent="0.3">
      <c r="A109" s="2">
        <v>108</v>
      </c>
      <c r="B109" s="13">
        <f ca="1">'일자별 시가총액'!H109</f>
        <v>103.46413172690762</v>
      </c>
      <c r="C109" s="13"/>
      <c r="D109" s="13">
        <f t="shared" ca="1" si="1"/>
        <v>103.5195737895593</v>
      </c>
    </row>
    <row r="110" spans="1:4" x14ac:dyDescent="0.3">
      <c r="A110" s="2">
        <v>109</v>
      </c>
      <c r="B110" s="13">
        <f ca="1">'일자별 시가총액'!H110</f>
        <v>103.32000321285139</v>
      </c>
      <c r="C110" s="13"/>
      <c r="D110" s="13">
        <f t="shared" ca="1" si="1"/>
        <v>103.37229144103827</v>
      </c>
    </row>
    <row r="111" spans="1:4" x14ac:dyDescent="0.3">
      <c r="A111" s="2">
        <v>110</v>
      </c>
      <c r="B111" s="13">
        <f ca="1">'일자별 시가총액'!H111</f>
        <v>102.90592289156626</v>
      </c>
      <c r="C111" s="13"/>
      <c r="D111" s="13">
        <f t="shared" ca="1" si="1"/>
        <v>102.9549373811812</v>
      </c>
    </row>
    <row r="112" spans="1:4" x14ac:dyDescent="0.3">
      <c r="A112" s="2">
        <v>111</v>
      </c>
      <c r="B112" s="13">
        <f ca="1">'일자별 시가총액'!H112</f>
        <v>103.12453975903615</v>
      </c>
      <c r="C112" s="13"/>
      <c r="D112" s="13">
        <f t="shared" ca="1" si="1"/>
        <v>103.17058777781087</v>
      </c>
    </row>
    <row r="113" spans="1:4" x14ac:dyDescent="0.3">
      <c r="A113" s="2">
        <v>112</v>
      </c>
      <c r="B113" s="13">
        <f ca="1">'일자별 시가총액'!H113</f>
        <v>102.35704738955825</v>
      </c>
      <c r="C113" s="13"/>
      <c r="D113" s="13">
        <f t="shared" ca="1" si="1"/>
        <v>102.39970504569844</v>
      </c>
    </row>
    <row r="114" spans="1:4" x14ac:dyDescent="0.3">
      <c r="A114" s="2">
        <v>113</v>
      </c>
      <c r="B114" s="13">
        <f ca="1">'일자별 시가총액'!H114</f>
        <v>101.82270361445782</v>
      </c>
      <c r="C114" s="13"/>
      <c r="D114" s="13">
        <f t="shared" ca="1" si="1"/>
        <v>101.86210692552906</v>
      </c>
    </row>
    <row r="115" spans="1:4" x14ac:dyDescent="0.3">
      <c r="A115" s="2">
        <v>114</v>
      </c>
      <c r="B115" s="13">
        <f ca="1">'일자별 시가총액'!H115</f>
        <v>101.68300240963855</v>
      </c>
      <c r="C115" s="13"/>
      <c r="D115" s="13">
        <f t="shared" ca="1" si="1"/>
        <v>101.71932425329942</v>
      </c>
    </row>
    <row r="116" spans="1:4" x14ac:dyDescent="0.3">
      <c r="A116" s="2">
        <v>115</v>
      </c>
      <c r="B116" s="13">
        <f ca="1">'일자별 시가총액'!H116</f>
        <v>102.12586506024097</v>
      </c>
      <c r="C116" s="13"/>
      <c r="D116" s="13">
        <f t="shared" ca="1" si="1"/>
        <v>102.15930459664209</v>
      </c>
    </row>
    <row r="117" spans="1:4" x14ac:dyDescent="0.3">
      <c r="A117" s="2">
        <v>116</v>
      </c>
      <c r="B117" s="13">
        <f ca="1">'일자별 시가총액'!H117</f>
        <v>104.25338152610442</v>
      </c>
      <c r="C117" s="13"/>
      <c r="D117" s="13">
        <f t="shared" ca="1" si="1"/>
        <v>104.28441393591434</v>
      </c>
    </row>
    <row r="118" spans="1:4" x14ac:dyDescent="0.3">
      <c r="A118" s="2">
        <v>117</v>
      </c>
      <c r="B118" s="13">
        <f ca="1">'일자별 시가총액'!H118</f>
        <v>103.78048995983934</v>
      </c>
      <c r="C118" s="13"/>
      <c r="D118" s="13">
        <f t="shared" ca="1" si="1"/>
        <v>103.80829202868944</v>
      </c>
    </row>
    <row r="119" spans="1:4" x14ac:dyDescent="0.3">
      <c r="A119" s="2">
        <v>118</v>
      </c>
      <c r="B119" s="13">
        <f ca="1">'일자별 시가총액'!H119</f>
        <v>105.29058795180724</v>
      </c>
      <c r="C119" s="13"/>
      <c r="D119" s="13">
        <f t="shared" ca="1" si="1"/>
        <v>105.31566012407879</v>
      </c>
    </row>
    <row r="120" spans="1:4" x14ac:dyDescent="0.3">
      <c r="A120" s="2">
        <v>119</v>
      </c>
      <c r="B120" s="13">
        <f ca="1">'일자별 시가총액'!H120</f>
        <v>105.82913895582328</v>
      </c>
      <c r="C120" s="13"/>
      <c r="D120" s="13">
        <f t="shared" ca="1" si="1"/>
        <v>105.85118898990454</v>
      </c>
    </row>
    <row r="121" spans="1:4" x14ac:dyDescent="0.3">
      <c r="A121" s="2">
        <v>120</v>
      </c>
      <c r="B121" s="13">
        <f ca="1">'일자별 시가총액'!H121</f>
        <v>107.14219598393575</v>
      </c>
      <c r="C121" s="13"/>
      <c r="D121" s="13">
        <f t="shared" ca="1" si="1"/>
        <v>107.16133022729663</v>
      </c>
    </row>
    <row r="122" spans="1:4" x14ac:dyDescent="0.3">
      <c r="A122" s="2">
        <v>121</v>
      </c>
      <c r="B122" s="13">
        <f ca="1">'일자별 시가총액'!H122</f>
        <v>107.08513413654619</v>
      </c>
      <c r="C122" s="13"/>
      <c r="D122" s="13">
        <f t="shared" ca="1" si="1"/>
        <v>107.10107061008424</v>
      </c>
    </row>
    <row r="123" spans="1:4" x14ac:dyDescent="0.3">
      <c r="A123" s="2">
        <v>122</v>
      </c>
      <c r="B123" s="13">
        <f ca="1">'일자별 시가총액'!H123</f>
        <v>107.63677590361446</v>
      </c>
      <c r="C123" s="13"/>
      <c r="D123" s="13">
        <f t="shared" ca="1" si="1"/>
        <v>107.64959056827027</v>
      </c>
    </row>
    <row r="124" spans="1:4" x14ac:dyDescent="0.3">
      <c r="A124" s="2">
        <v>123</v>
      </c>
      <c r="B124" s="13">
        <f ca="1">'일자별 시가총액'!H124</f>
        <v>106.28112289156626</v>
      </c>
      <c r="C124" s="13"/>
      <c r="D124" s="13">
        <f t="shared" ca="1" si="1"/>
        <v>106.29061270118463</v>
      </c>
    </row>
    <row r="125" spans="1:4" x14ac:dyDescent="0.3">
      <c r="A125" s="2">
        <v>124</v>
      </c>
      <c r="B125" s="13">
        <f ca="1">'일자별 시가총액'!H125</f>
        <v>104.30840963855421</v>
      </c>
      <c r="C125" s="13"/>
      <c r="D125" s="13">
        <f t="shared" ca="1" si="1"/>
        <v>104.31461865725166</v>
      </c>
    </row>
    <row r="126" spans="1:4" x14ac:dyDescent="0.3">
      <c r="A126" s="2">
        <v>125</v>
      </c>
      <c r="B126" s="13">
        <f ca="1">'일자별 시가총액'!H126</f>
        <v>104.95758554216867</v>
      </c>
      <c r="C126" s="13"/>
      <c r="D126" s="13">
        <f t="shared" ca="1" si="1"/>
        <v>104.96070932631827</v>
      </c>
    </row>
    <row r="127" spans="1:4" x14ac:dyDescent="0.3">
      <c r="A127" s="2">
        <v>126</v>
      </c>
      <c r="B127" s="13">
        <f ca="1">'일자별 시가총액'!H127</f>
        <v>102.8698843373494</v>
      </c>
      <c r="C127" s="13"/>
      <c r="D127" s="13">
        <f t="shared" ca="1" si="1"/>
        <v>102.8698843373494</v>
      </c>
    </row>
    <row r="128" spans="1:4" x14ac:dyDescent="0.3">
      <c r="A128" s="2">
        <v>127</v>
      </c>
      <c r="B128" s="13">
        <f ca="1">'일자별 시가총액'!H128</f>
        <v>103.6317204819277</v>
      </c>
      <c r="C128" s="13"/>
      <c r="D128" s="13"/>
    </row>
    <row r="129" spans="1:4" x14ac:dyDescent="0.3">
      <c r="A129" s="2">
        <v>128</v>
      </c>
      <c r="B129" s="13">
        <f ca="1">'일자별 시가총액'!H129</f>
        <v>102.78345702811245</v>
      </c>
      <c r="C129" s="13"/>
      <c r="D129" s="13"/>
    </row>
    <row r="130" spans="1:4" x14ac:dyDescent="0.3">
      <c r="A130" s="2">
        <v>129</v>
      </c>
      <c r="B130" s="13">
        <f ca="1">'일자별 시가총액'!H130</f>
        <v>101.74095261044175</v>
      </c>
      <c r="C130" s="13"/>
      <c r="D130" s="13"/>
    </row>
    <row r="131" spans="1:4" x14ac:dyDescent="0.3">
      <c r="A131" s="2">
        <v>130</v>
      </c>
      <c r="B131" s="13">
        <f ca="1">'일자별 시가총액'!H131</f>
        <v>102.06616064257028</v>
      </c>
      <c r="C131" s="13"/>
      <c r="D131" s="13"/>
    </row>
    <row r="132" spans="1:4" x14ac:dyDescent="0.3">
      <c r="A132" s="2">
        <v>131</v>
      </c>
      <c r="B132" s="13">
        <f ca="1">'일자별 시가총액'!H132</f>
        <v>100.40555983935744</v>
      </c>
      <c r="C132" s="13"/>
      <c r="D132" s="13"/>
    </row>
    <row r="133" spans="1:4" x14ac:dyDescent="0.3">
      <c r="A133" s="2">
        <v>132</v>
      </c>
      <c r="B133" s="13">
        <f ca="1">'일자별 시가총액'!H133</f>
        <v>101.98506345381526</v>
      </c>
      <c r="C133" s="13"/>
      <c r="D133" s="13"/>
    </row>
    <row r="134" spans="1:4" x14ac:dyDescent="0.3">
      <c r="A134" s="2">
        <v>133</v>
      </c>
      <c r="B134" s="13">
        <f ca="1">'일자별 시가총액'!H134</f>
        <v>102.65345863453814</v>
      </c>
      <c r="C134" s="13"/>
      <c r="D134" s="13"/>
    </row>
    <row r="135" spans="1:4" x14ac:dyDescent="0.3">
      <c r="A135" s="2">
        <v>134</v>
      </c>
      <c r="B135" s="13">
        <f ca="1">'일자별 시가총액'!H135</f>
        <v>102.89153092369479</v>
      </c>
      <c r="C135" s="13"/>
      <c r="D135" s="13"/>
    </row>
    <row r="136" spans="1:4" x14ac:dyDescent="0.3">
      <c r="A136" s="2">
        <v>135</v>
      </c>
      <c r="B136" s="13">
        <f ca="1">'일자별 시가총액'!H136</f>
        <v>104.79906184738957</v>
      </c>
      <c r="C136" s="13"/>
      <c r="D136" s="13"/>
    </row>
    <row r="137" spans="1:4" x14ac:dyDescent="0.3">
      <c r="A137" s="2">
        <v>136</v>
      </c>
      <c r="B137" s="13">
        <f ca="1">'일자별 시가총액'!H137</f>
        <v>105.1529236947791</v>
      </c>
      <c r="C137" s="13"/>
      <c r="D137" s="13"/>
    </row>
    <row r="138" spans="1:4" x14ac:dyDescent="0.3">
      <c r="A138" s="2">
        <v>137</v>
      </c>
      <c r="B138" s="13">
        <f ca="1">'일자별 시가총액'!H138</f>
        <v>104.64290602409638</v>
      </c>
      <c r="C138" s="13"/>
      <c r="D138" s="13"/>
    </row>
    <row r="139" spans="1:4" x14ac:dyDescent="0.3">
      <c r="A139" s="2">
        <v>138</v>
      </c>
      <c r="B139" s="13">
        <f ca="1">'일자별 시가총액'!H139</f>
        <v>106.6993702811245</v>
      </c>
      <c r="C139" s="13"/>
      <c r="D139" s="13"/>
    </row>
    <row r="140" spans="1:4" x14ac:dyDescent="0.3">
      <c r="A140" s="2">
        <v>139</v>
      </c>
      <c r="B140" s="13">
        <f ca="1">'일자별 시가총액'!H140</f>
        <v>106.54111646586347</v>
      </c>
      <c r="C140" s="13"/>
      <c r="D140" s="13"/>
    </row>
    <row r="141" spans="1:4" x14ac:dyDescent="0.3">
      <c r="A141" s="2">
        <v>140</v>
      </c>
      <c r="B141" s="13">
        <f ca="1">'일자별 시가총액'!H141</f>
        <v>105.74166104417671</v>
      </c>
      <c r="C141" s="13"/>
      <c r="D141" s="13"/>
    </row>
    <row r="142" spans="1:4" x14ac:dyDescent="0.3">
      <c r="A142" s="2">
        <v>141</v>
      </c>
      <c r="B142" s="13">
        <f ca="1">'일자별 시가총액'!H142</f>
        <v>106.08369959839357</v>
      </c>
      <c r="C142" s="13"/>
      <c r="D142" s="13"/>
    </row>
    <row r="143" spans="1:4" x14ac:dyDescent="0.3">
      <c r="A143" s="2">
        <v>142</v>
      </c>
      <c r="B143" s="13">
        <f ca="1">'일자별 시가총액'!H143</f>
        <v>106.19888514056224</v>
      </c>
      <c r="C143" s="13"/>
      <c r="D143" s="13"/>
    </row>
    <row r="144" spans="1:4" x14ac:dyDescent="0.3">
      <c r="A144" s="2">
        <v>143</v>
      </c>
      <c r="B144" s="13">
        <f ca="1">'일자별 시가총액'!H144</f>
        <v>105.1145718875502</v>
      </c>
      <c r="C144" s="13"/>
      <c r="D144" s="13"/>
    </row>
    <row r="145" spans="1:4" x14ac:dyDescent="0.3">
      <c r="A145" s="2">
        <v>144</v>
      </c>
      <c r="B145" s="13">
        <f ca="1">'일자별 시가총액'!H145</f>
        <v>104.11761927710843</v>
      </c>
      <c r="C145" s="13"/>
      <c r="D145" s="13"/>
    </row>
    <row r="146" spans="1:4" x14ac:dyDescent="0.3">
      <c r="A146" s="2">
        <v>145</v>
      </c>
      <c r="B146" s="13">
        <f ca="1">'일자별 시가총액'!H146</f>
        <v>104.39572530120482</v>
      </c>
      <c r="C146" s="13"/>
      <c r="D146" s="13"/>
    </row>
    <row r="147" spans="1:4" x14ac:dyDescent="0.3">
      <c r="A147" s="2">
        <v>146</v>
      </c>
      <c r="B147" s="13">
        <f ca="1">'일자별 시가총액'!H147</f>
        <v>105.44426987951807</v>
      </c>
      <c r="C147" s="13"/>
      <c r="D147" s="13"/>
    </row>
    <row r="148" spans="1:4" x14ac:dyDescent="0.3">
      <c r="A148" s="2">
        <v>147</v>
      </c>
      <c r="B148" s="13">
        <f ca="1">'일자별 시가총액'!H148</f>
        <v>105.63115983935742</v>
      </c>
      <c r="C148" s="13"/>
      <c r="D148" s="13"/>
    </row>
    <row r="149" spans="1:4" x14ac:dyDescent="0.3">
      <c r="A149" s="2">
        <v>148</v>
      </c>
      <c r="B149" s="13">
        <f ca="1">'일자별 시가총액'!H149</f>
        <v>106.34684658634539</v>
      </c>
      <c r="C149" s="13"/>
      <c r="D149" s="13"/>
    </row>
    <row r="150" spans="1:4" x14ac:dyDescent="0.3">
      <c r="A150" s="2">
        <v>149</v>
      </c>
      <c r="B150" s="13">
        <f ca="1">'일자별 시가총액'!H150</f>
        <v>104.80467630522088</v>
      </c>
      <c r="C150" s="13"/>
      <c r="D150" s="13"/>
    </row>
    <row r="151" spans="1:4" x14ac:dyDescent="0.3">
      <c r="A151" s="2">
        <v>150</v>
      </c>
      <c r="B151" s="13">
        <f ca="1">'일자별 시가총액'!H151</f>
        <v>105.66412048192771</v>
      </c>
      <c r="C151" s="13"/>
      <c r="D151" s="13"/>
    </row>
    <row r="152" spans="1:4" x14ac:dyDescent="0.3">
      <c r="A152" s="2">
        <v>151</v>
      </c>
      <c r="B152" s="13">
        <f ca="1">'일자별 시가총액'!H152</f>
        <v>106.29620080321286</v>
      </c>
      <c r="C152" s="13"/>
      <c r="D152" s="13"/>
    </row>
    <row r="153" spans="1:4" x14ac:dyDescent="0.3">
      <c r="A153" s="2">
        <v>152</v>
      </c>
      <c r="B153" s="13">
        <f ca="1">'일자별 시가총액'!H153</f>
        <v>106.53273734939759</v>
      </c>
      <c r="C153" s="13"/>
      <c r="D153" s="13"/>
    </row>
    <row r="154" spans="1:4" x14ac:dyDescent="0.3">
      <c r="A154" s="2">
        <v>153</v>
      </c>
      <c r="B154" s="13">
        <f ca="1">'일자별 시가총액'!H154</f>
        <v>106.43622008032128</v>
      </c>
      <c r="C154" s="13"/>
      <c r="D154" s="13"/>
    </row>
    <row r="155" spans="1:4" x14ac:dyDescent="0.3">
      <c r="A155" s="2">
        <v>154</v>
      </c>
      <c r="B155" s="13">
        <f ca="1">'일자별 시가총액'!H155</f>
        <v>107.41888674698797</v>
      </c>
      <c r="C155" s="13"/>
      <c r="D155" s="13"/>
    </row>
    <row r="156" spans="1:4" x14ac:dyDescent="0.3">
      <c r="A156" s="2">
        <v>155</v>
      </c>
      <c r="B156" s="13">
        <f ca="1">'일자별 시가총액'!H156</f>
        <v>108.50976385542168</v>
      </c>
      <c r="C156" s="13"/>
      <c r="D156" s="13"/>
    </row>
    <row r="157" spans="1:4" x14ac:dyDescent="0.3">
      <c r="A157" s="2">
        <v>156</v>
      </c>
      <c r="B157" s="13">
        <f ca="1">'일자별 시가총액'!H157</f>
        <v>108.96434698795181</v>
      </c>
      <c r="C157" s="13"/>
      <c r="D157" s="13"/>
    </row>
    <row r="158" spans="1:4" x14ac:dyDescent="0.3">
      <c r="A158" s="2">
        <v>157</v>
      </c>
      <c r="B158" s="13">
        <f ca="1">'일자별 시가총액'!H158</f>
        <v>109.83748755020079</v>
      </c>
      <c r="C158" s="13"/>
      <c r="D158" s="13"/>
    </row>
    <row r="159" spans="1:4" x14ac:dyDescent="0.3">
      <c r="A159" s="2">
        <v>158</v>
      </c>
      <c r="B159" s="13">
        <f ca="1">'일자별 시가총액'!H159</f>
        <v>108.63953253012049</v>
      </c>
      <c r="C159" s="13"/>
      <c r="D159" s="13"/>
    </row>
    <row r="160" spans="1:4" x14ac:dyDescent="0.3">
      <c r="A160" s="2">
        <v>159</v>
      </c>
      <c r="B160" s="13">
        <f ca="1">'일자별 시가총액'!H160</f>
        <v>107.58534136546186</v>
      </c>
      <c r="C160" s="13"/>
      <c r="D160" s="13"/>
    </row>
    <row r="161" spans="1:4" x14ac:dyDescent="0.3">
      <c r="A161" s="2">
        <v>160</v>
      </c>
      <c r="B161" s="13">
        <f ca="1">'일자별 시가총액'!H161</f>
        <v>107.70689638554217</v>
      </c>
      <c r="C161" s="13"/>
      <c r="D161" s="13"/>
    </row>
    <row r="162" spans="1:4" x14ac:dyDescent="0.3">
      <c r="A162" s="2">
        <v>161</v>
      </c>
      <c r="B162" s="13">
        <f ca="1">'일자별 시가총액'!H162</f>
        <v>108.82054297188755</v>
      </c>
      <c r="C162" s="13"/>
      <c r="D162" s="13"/>
    </row>
    <row r="163" spans="1:4" x14ac:dyDescent="0.3">
      <c r="A163" s="2">
        <v>162</v>
      </c>
      <c r="B163" s="13">
        <f ca="1">'일자별 시가총액'!H163</f>
        <v>110.06953092369478</v>
      </c>
      <c r="C163" s="13"/>
      <c r="D163" s="13"/>
    </row>
    <row r="164" spans="1:4" x14ac:dyDescent="0.3">
      <c r="A164" s="2">
        <v>163</v>
      </c>
      <c r="B164" s="13">
        <f ca="1">'일자별 시가총액'!H164</f>
        <v>111.5443550200803</v>
      </c>
      <c r="C164" s="13"/>
      <c r="D164" s="13"/>
    </row>
    <row r="165" spans="1:4" x14ac:dyDescent="0.3">
      <c r="A165" s="2">
        <v>164</v>
      </c>
      <c r="B165" s="13">
        <f ca="1">'일자별 시가총액'!H165</f>
        <v>113.78440321285142</v>
      </c>
      <c r="C165" s="13"/>
      <c r="D165" s="13"/>
    </row>
    <row r="166" spans="1:4" x14ac:dyDescent="0.3">
      <c r="A166" s="2">
        <v>165</v>
      </c>
      <c r="B166" s="13">
        <f ca="1">'일자별 시가총액'!H166</f>
        <v>113.31284979919678</v>
      </c>
      <c r="C166" s="13"/>
      <c r="D166" s="13"/>
    </row>
    <row r="167" spans="1:4" x14ac:dyDescent="0.3">
      <c r="A167" s="2">
        <v>166</v>
      </c>
      <c r="B167" s="13">
        <f ca="1">'일자별 시가총액'!H167</f>
        <v>114.49376064257028</v>
      </c>
      <c r="C167" s="13"/>
      <c r="D167" s="13"/>
    </row>
    <row r="168" spans="1:4" x14ac:dyDescent="0.3">
      <c r="A168" s="2">
        <v>167</v>
      </c>
      <c r="B168" s="13">
        <f ca="1">'일자별 시가총액'!H168</f>
        <v>113.1422923694779</v>
      </c>
      <c r="C168" s="13"/>
      <c r="D168" s="13"/>
    </row>
    <row r="169" spans="1:4" x14ac:dyDescent="0.3">
      <c r="A169" s="2">
        <v>168</v>
      </c>
      <c r="B169" s="13">
        <f ca="1">'일자별 시가총액'!H169</f>
        <v>113.84737188755021</v>
      </c>
      <c r="C169" s="13"/>
      <c r="D169" s="13"/>
    </row>
    <row r="170" spans="1:4" x14ac:dyDescent="0.3">
      <c r="A170" s="2">
        <v>169</v>
      </c>
      <c r="B170" s="13">
        <f ca="1">'일자별 시가총액'!H170</f>
        <v>112.78035341365462</v>
      </c>
      <c r="C170" s="13"/>
      <c r="D170" s="13"/>
    </row>
    <row r="171" spans="1:4" x14ac:dyDescent="0.3">
      <c r="A171" s="2">
        <v>170</v>
      </c>
      <c r="B171" s="13">
        <f ca="1">'일자별 시가총액'!H171</f>
        <v>111.22835983935744</v>
      </c>
      <c r="C171" s="13"/>
      <c r="D171" s="13"/>
    </row>
    <row r="172" spans="1:4" x14ac:dyDescent="0.3">
      <c r="A172" s="2">
        <v>171</v>
      </c>
      <c r="B172" s="13">
        <f ca="1">'일자별 시가총액'!H172</f>
        <v>109.98774297188756</v>
      </c>
      <c r="C172" s="13"/>
      <c r="D172" s="13"/>
    </row>
    <row r="173" spans="1:4" x14ac:dyDescent="0.3">
      <c r="A173" s="2">
        <v>172</v>
      </c>
      <c r="B173" s="13">
        <f ca="1">'일자별 시가총액'!H173</f>
        <v>111.16940401606425</v>
      </c>
      <c r="C173" s="13"/>
      <c r="D173" s="13"/>
    </row>
    <row r="174" spans="1:4" x14ac:dyDescent="0.3">
      <c r="A174" s="2">
        <v>173</v>
      </c>
      <c r="B174" s="13">
        <f ca="1">'일자별 시가총액'!H174</f>
        <v>110.46619116465864</v>
      </c>
      <c r="C174" s="13"/>
      <c r="D174" s="13"/>
    </row>
    <row r="175" spans="1:4" x14ac:dyDescent="0.3">
      <c r="A175" s="2">
        <v>174</v>
      </c>
      <c r="B175" s="13">
        <f ca="1">'일자별 시가총액'!H175</f>
        <v>109.66633413654618</v>
      </c>
      <c r="C175" s="13"/>
      <c r="D175" s="13"/>
    </row>
    <row r="176" spans="1:4" x14ac:dyDescent="0.3">
      <c r="A176" s="2">
        <v>175</v>
      </c>
      <c r="B176" s="13">
        <f ca="1">'일자별 시가총액'!H176</f>
        <v>108.99804979919678</v>
      </c>
      <c r="C176" s="13"/>
      <c r="D176" s="13"/>
    </row>
    <row r="177" spans="1:4" x14ac:dyDescent="0.3">
      <c r="A177" s="2">
        <v>176</v>
      </c>
      <c r="B177" s="13">
        <f ca="1">'일자별 시가총액'!H177</f>
        <v>109.46222008032129</v>
      </c>
      <c r="C177" s="13"/>
      <c r="D177" s="13"/>
    </row>
    <row r="178" spans="1:4" x14ac:dyDescent="0.3">
      <c r="A178" s="2">
        <v>177</v>
      </c>
      <c r="B178" s="13">
        <f ca="1">'일자별 시가총액'!H178</f>
        <v>108.59951164658635</v>
      </c>
      <c r="C178" s="13"/>
      <c r="D178" s="13"/>
    </row>
    <row r="179" spans="1:4" x14ac:dyDescent="0.3">
      <c r="A179" s="2">
        <v>178</v>
      </c>
      <c r="B179" s="13">
        <f ca="1">'일자별 시가총액'!H179</f>
        <v>109.58117911646585</v>
      </c>
      <c r="C179" s="13"/>
      <c r="D179" s="13"/>
    </row>
    <row r="180" spans="1:4" x14ac:dyDescent="0.3">
      <c r="A180" s="2">
        <v>179</v>
      </c>
      <c r="B180" s="13">
        <f ca="1">'일자별 시가총액'!H180</f>
        <v>108.14805622489961</v>
      </c>
      <c r="C180" s="13"/>
      <c r="D180" s="13"/>
    </row>
    <row r="181" spans="1:4" x14ac:dyDescent="0.3">
      <c r="A181" s="2">
        <v>180</v>
      </c>
      <c r="B181" s="13">
        <f ca="1">'일자별 시가총액'!H181</f>
        <v>110.40969317269077</v>
      </c>
      <c r="C181" s="13"/>
      <c r="D181" s="13"/>
    </row>
    <row r="182" spans="1:4" x14ac:dyDescent="0.3">
      <c r="A182" s="2">
        <v>181</v>
      </c>
      <c r="B182" s="13">
        <f ca="1">'일자별 시가총액'!H182</f>
        <v>108.22523212851405</v>
      </c>
      <c r="C182" s="13"/>
      <c r="D182" s="13"/>
    </row>
    <row r="183" spans="1:4" x14ac:dyDescent="0.3">
      <c r="A183" s="2">
        <v>182</v>
      </c>
      <c r="B183" s="13">
        <f ca="1">'일자별 시가총액'!H183</f>
        <v>110.68081285140563</v>
      </c>
      <c r="C183" s="13"/>
      <c r="D183" s="13"/>
    </row>
    <row r="184" spans="1:4" x14ac:dyDescent="0.3">
      <c r="A184" s="2">
        <v>183</v>
      </c>
      <c r="B184" s="13">
        <f ca="1">'일자별 시가총액'!H184</f>
        <v>112.36615742971887</v>
      </c>
      <c r="C184" s="13"/>
      <c r="D184" s="13"/>
    </row>
    <row r="185" spans="1:4" x14ac:dyDescent="0.3">
      <c r="A185" s="2">
        <v>184</v>
      </c>
      <c r="B185" s="13">
        <f ca="1">'일자별 시가총액'!H185</f>
        <v>112.93946506024098</v>
      </c>
      <c r="C185" s="13"/>
      <c r="D185" s="13"/>
    </row>
    <row r="186" spans="1:4" x14ac:dyDescent="0.3">
      <c r="A186" s="2">
        <v>185</v>
      </c>
      <c r="B186" s="13">
        <f ca="1">'일자별 시가총액'!H186</f>
        <v>111.58685783132529</v>
      </c>
      <c r="C186" s="13"/>
      <c r="D186" s="13"/>
    </row>
    <row r="187" spans="1:4" x14ac:dyDescent="0.3">
      <c r="A187" s="2">
        <v>186</v>
      </c>
      <c r="B187" s="13">
        <f ca="1">'일자별 시가총액'!H187</f>
        <v>110.61418152610443</v>
      </c>
      <c r="C187" s="13"/>
      <c r="D187" s="13"/>
    </row>
    <row r="188" spans="1:4" x14ac:dyDescent="0.3">
      <c r="A188" s="2">
        <v>187</v>
      </c>
      <c r="B188" s="13">
        <f ca="1">'일자별 시가총액'!H188</f>
        <v>111.54705542168675</v>
      </c>
      <c r="C188" s="13"/>
      <c r="D188" s="13"/>
    </row>
    <row r="189" spans="1:4" x14ac:dyDescent="0.3">
      <c r="A189" s="2">
        <v>188</v>
      </c>
      <c r="B189" s="13">
        <f ca="1">'일자별 시가총액'!H189</f>
        <v>111.25089638554218</v>
      </c>
      <c r="C189" s="13"/>
      <c r="D189" s="13"/>
    </row>
    <row r="190" spans="1:4" x14ac:dyDescent="0.3">
      <c r="A190" s="2">
        <v>189</v>
      </c>
      <c r="B190" s="13">
        <f ca="1">'일자별 시가총액'!H190</f>
        <v>108.69806425702811</v>
      </c>
      <c r="C190" s="13"/>
      <c r="D190" s="13"/>
    </row>
    <row r="191" spans="1:4" x14ac:dyDescent="0.3">
      <c r="A191" s="2">
        <v>190</v>
      </c>
      <c r="B191" s="13">
        <f ca="1">'일자별 시가총액'!H191</f>
        <v>109.81288032128514</v>
      </c>
      <c r="C191" s="13"/>
      <c r="D191" s="13"/>
    </row>
    <row r="192" spans="1:4" x14ac:dyDescent="0.3">
      <c r="A192" s="2">
        <v>191</v>
      </c>
      <c r="B192" s="13">
        <f ca="1">'일자별 시가총액'!H192</f>
        <v>111.79172369477912</v>
      </c>
      <c r="C192" s="13"/>
      <c r="D192" s="13"/>
    </row>
    <row r="193" spans="1:4" x14ac:dyDescent="0.3">
      <c r="A193" s="2">
        <v>192</v>
      </c>
      <c r="B193" s="13">
        <f ca="1">'일자별 시가총액'!H193</f>
        <v>112.15201124497992</v>
      </c>
      <c r="C193" s="13"/>
      <c r="D193" s="13"/>
    </row>
    <row r="194" spans="1:4" x14ac:dyDescent="0.3">
      <c r="A194" s="2">
        <v>193</v>
      </c>
      <c r="B194" s="13">
        <f ca="1">'일자별 시가총액'!H194</f>
        <v>111.27275662650602</v>
      </c>
      <c r="C194" s="13"/>
      <c r="D194" s="13"/>
    </row>
    <row r="195" spans="1:4" x14ac:dyDescent="0.3">
      <c r="A195" s="2">
        <v>194</v>
      </c>
      <c r="B195" s="13">
        <f ca="1">'일자별 시가총액'!H195</f>
        <v>112.72583935742972</v>
      </c>
      <c r="C195" s="13"/>
      <c r="D195" s="13"/>
    </row>
    <row r="196" spans="1:4" x14ac:dyDescent="0.3">
      <c r="A196" s="2">
        <v>195</v>
      </c>
      <c r="B196" s="13">
        <f ca="1">'일자별 시가총액'!H196</f>
        <v>111.00620401606425</v>
      </c>
      <c r="C196" s="13"/>
      <c r="D196" s="13"/>
    </row>
    <row r="197" spans="1:4" x14ac:dyDescent="0.3">
      <c r="A197" s="2">
        <v>196</v>
      </c>
      <c r="B197" s="13">
        <f ca="1">'일자별 시가총액'!H197</f>
        <v>110.17376546184738</v>
      </c>
      <c r="C197" s="13"/>
      <c r="D197" s="13"/>
    </row>
    <row r="198" spans="1:4" x14ac:dyDescent="0.3">
      <c r="A198" s="2">
        <v>197</v>
      </c>
      <c r="B198" s="13">
        <f ca="1">'일자별 시가총액'!H198</f>
        <v>110.33013493975903</v>
      </c>
      <c r="C198" s="13"/>
      <c r="D198" s="13"/>
    </row>
    <row r="199" spans="1:4" x14ac:dyDescent="0.3">
      <c r="A199" s="2">
        <v>198</v>
      </c>
      <c r="B199" s="13">
        <f ca="1">'일자별 시가총액'!H199</f>
        <v>108.73833253012049</v>
      </c>
      <c r="C199" s="13"/>
      <c r="D199" s="13"/>
    </row>
    <row r="200" spans="1:4" x14ac:dyDescent="0.3">
      <c r="A200" s="2">
        <v>199</v>
      </c>
      <c r="B200" s="13">
        <f ca="1">'일자별 시가총액'!H200</f>
        <v>109.91244016064256</v>
      </c>
      <c r="C200" s="13"/>
      <c r="D200" s="13"/>
    </row>
    <row r="201" spans="1:4" x14ac:dyDescent="0.3">
      <c r="A201" s="2">
        <v>200</v>
      </c>
      <c r="B201" s="13">
        <f ca="1">'일자별 시가총액'!H201</f>
        <v>109.79595662650603</v>
      </c>
      <c r="C201" s="13"/>
      <c r="D201" s="13"/>
    </row>
    <row r="202" spans="1:4" x14ac:dyDescent="0.3">
      <c r="A202" s="2">
        <v>201</v>
      </c>
      <c r="B202" s="13">
        <f ca="1">'일자별 시가총액'!H202</f>
        <v>110.46692690763051</v>
      </c>
      <c r="C202" s="13"/>
      <c r="D202" s="13"/>
    </row>
    <row r="203" spans="1:4" x14ac:dyDescent="0.3">
      <c r="A203" s="2">
        <v>202</v>
      </c>
      <c r="B203" s="13">
        <f ca="1">'일자별 시가총액'!H203</f>
        <v>110.51952128514056</v>
      </c>
      <c r="C203" s="13"/>
      <c r="D203" s="13"/>
    </row>
    <row r="204" spans="1:4" x14ac:dyDescent="0.3">
      <c r="A204" s="2">
        <v>203</v>
      </c>
      <c r="B204" s="13">
        <f ca="1">'일자별 시가총액'!H204</f>
        <v>110.42194859437751</v>
      </c>
      <c r="C204" s="13"/>
      <c r="D204" s="13"/>
    </row>
    <row r="205" spans="1:4" x14ac:dyDescent="0.3">
      <c r="A205" s="2">
        <v>204</v>
      </c>
      <c r="B205" s="13">
        <f ca="1">'일자별 시가총액'!H205</f>
        <v>112.09913413654617</v>
      </c>
      <c r="C205" s="13"/>
      <c r="D205" s="13"/>
    </row>
    <row r="206" spans="1:4" x14ac:dyDescent="0.3">
      <c r="A206" s="2">
        <v>205</v>
      </c>
      <c r="B206" s="13">
        <f ca="1">'일자별 시가총액'!H206</f>
        <v>113.0734939759036</v>
      </c>
      <c r="C206" s="13"/>
      <c r="D206" s="13"/>
    </row>
    <row r="207" spans="1:4" x14ac:dyDescent="0.3">
      <c r="A207" s="2">
        <v>206</v>
      </c>
      <c r="B207" s="13">
        <f ca="1">'일자별 시가총액'!H207</f>
        <v>114.66029879518072</v>
      </c>
      <c r="C207" s="13"/>
      <c r="D207" s="13"/>
    </row>
    <row r="208" spans="1:4" x14ac:dyDescent="0.3">
      <c r="A208" s="2">
        <v>207</v>
      </c>
      <c r="B208" s="13">
        <f ca="1">'일자별 시가총액'!H208</f>
        <v>115.61272289156625</v>
      </c>
      <c r="C208" s="13"/>
      <c r="D208" s="13"/>
    </row>
    <row r="209" spans="1:4" x14ac:dyDescent="0.3">
      <c r="A209" s="2">
        <v>208</v>
      </c>
      <c r="B209" s="13">
        <f ca="1">'일자별 시가총액'!H209</f>
        <v>115.88052048192772</v>
      </c>
      <c r="C209" s="13"/>
      <c r="D209" s="13"/>
    </row>
    <row r="210" spans="1:4" x14ac:dyDescent="0.3">
      <c r="A210" s="2">
        <v>209</v>
      </c>
      <c r="B210" s="13">
        <f ca="1">'일자별 시가총액'!H210</f>
        <v>115.41994216867471</v>
      </c>
      <c r="C210" s="13"/>
      <c r="D210" s="13"/>
    </row>
    <row r="211" spans="1:4" x14ac:dyDescent="0.3">
      <c r="A211" s="2">
        <v>210</v>
      </c>
      <c r="B211" s="13">
        <f ca="1">'일자별 시가총액'!H211</f>
        <v>114.49857991967872</v>
      </c>
      <c r="C211" s="13"/>
      <c r="D211" s="13"/>
    </row>
    <row r="212" spans="1:4" x14ac:dyDescent="0.3">
      <c r="A212" s="2">
        <v>211</v>
      </c>
      <c r="B212" s="13">
        <f ca="1">'일자별 시가총액'!H212</f>
        <v>113.75880963855423</v>
      </c>
      <c r="C212" s="13"/>
      <c r="D212" s="13"/>
    </row>
    <row r="213" spans="1:4" x14ac:dyDescent="0.3">
      <c r="A213" s="2">
        <v>212</v>
      </c>
      <c r="B213" s="13">
        <f ca="1">'일자별 시가총액'!H213</f>
        <v>114.16797751004015</v>
      </c>
      <c r="C213" s="13"/>
      <c r="D213" s="13"/>
    </row>
    <row r="214" spans="1:4" x14ac:dyDescent="0.3">
      <c r="A214" s="2">
        <v>213</v>
      </c>
      <c r="B214" s="13">
        <f ca="1">'일자별 시가총액'!H214</f>
        <v>115.50579759036144</v>
      </c>
      <c r="C214" s="13"/>
      <c r="D214" s="13"/>
    </row>
    <row r="215" spans="1:4" x14ac:dyDescent="0.3">
      <c r="A215" s="2">
        <v>214</v>
      </c>
      <c r="B215" s="13">
        <f ca="1">'일자별 시가총액'!H215</f>
        <v>117.90699759036146</v>
      </c>
      <c r="C215" s="13"/>
      <c r="D215" s="13"/>
    </row>
    <row r="216" spans="1:4" x14ac:dyDescent="0.3">
      <c r="A216" s="2">
        <v>215</v>
      </c>
      <c r="B216" s="13">
        <f ca="1">'일자별 시가총액'!H216</f>
        <v>117.87303775100402</v>
      </c>
      <c r="C216" s="13"/>
      <c r="D216" s="13"/>
    </row>
    <row r="217" spans="1:4" x14ac:dyDescent="0.3">
      <c r="A217" s="2">
        <v>216</v>
      </c>
      <c r="B217" s="13">
        <f ca="1">'일자별 시가총액'!H217</f>
        <v>115.81545060240963</v>
      </c>
      <c r="C217" s="13"/>
      <c r="D217" s="13"/>
    </row>
    <row r="218" spans="1:4" x14ac:dyDescent="0.3">
      <c r="A218" s="2">
        <v>217</v>
      </c>
      <c r="B218" s="13">
        <f ca="1">'일자별 시가총액'!H218</f>
        <v>117.21550361445783</v>
      </c>
      <c r="C218" s="13"/>
      <c r="D218" s="13"/>
    </row>
    <row r="219" spans="1:4" x14ac:dyDescent="0.3">
      <c r="A219" s="2">
        <v>218</v>
      </c>
      <c r="B219" s="13">
        <f ca="1">'일자별 시가총액'!H219</f>
        <v>116.29420240963854</v>
      </c>
      <c r="C219" s="13"/>
      <c r="D219" s="13"/>
    </row>
    <row r="220" spans="1:4" x14ac:dyDescent="0.3">
      <c r="A220" s="2">
        <v>219</v>
      </c>
      <c r="B220" s="13">
        <f ca="1">'일자별 시가총액'!H220</f>
        <v>117.20062008032129</v>
      </c>
      <c r="C220" s="13"/>
      <c r="D220" s="13"/>
    </row>
    <row r="221" spans="1:4" x14ac:dyDescent="0.3">
      <c r="A221" s="2">
        <v>220</v>
      </c>
      <c r="B221" s="13">
        <f ca="1">'일자별 시가총액'!H221</f>
        <v>115.4047469879518</v>
      </c>
      <c r="C221" s="13"/>
      <c r="D221" s="13"/>
    </row>
    <row r="222" spans="1:4" x14ac:dyDescent="0.3">
      <c r="A222" s="2">
        <v>221</v>
      </c>
      <c r="B222" s="13">
        <f ca="1">'일자별 시가총액'!H222</f>
        <v>113.48483855421688</v>
      </c>
      <c r="C222" s="13"/>
      <c r="D222" s="13"/>
    </row>
    <row r="223" spans="1:4" x14ac:dyDescent="0.3">
      <c r="A223" s="2">
        <v>222</v>
      </c>
      <c r="B223" s="13">
        <f ca="1">'일자별 시가총액'!H223</f>
        <v>111.52677269076305</v>
      </c>
      <c r="C223" s="13"/>
      <c r="D223" s="13"/>
    </row>
    <row r="224" spans="1:4" x14ac:dyDescent="0.3">
      <c r="A224" s="2">
        <v>223</v>
      </c>
      <c r="B224" s="13">
        <f ca="1">'일자별 시가총액'!H224</f>
        <v>110.77514056224899</v>
      </c>
      <c r="C224" s="13"/>
      <c r="D224" s="13"/>
    </row>
    <row r="225" spans="1:4" x14ac:dyDescent="0.3">
      <c r="A225" s="2">
        <v>224</v>
      </c>
      <c r="B225" s="13">
        <f ca="1">'일자별 시가총액'!H225</f>
        <v>109.54703453815262</v>
      </c>
      <c r="C225" s="13"/>
      <c r="D225" s="13"/>
    </row>
    <row r="226" spans="1:4" x14ac:dyDescent="0.3">
      <c r="A226" s="2">
        <v>225</v>
      </c>
      <c r="B226" s="13">
        <f ca="1">'일자별 시가총액'!H226</f>
        <v>109.49077269076307</v>
      </c>
      <c r="C226" s="13"/>
      <c r="D226" s="13"/>
    </row>
    <row r="227" spans="1:4" x14ac:dyDescent="0.3">
      <c r="A227" s="2">
        <v>226</v>
      </c>
      <c r="B227" s="13">
        <f ca="1">'일자별 시가총액'!H227</f>
        <v>108.05998714859437</v>
      </c>
      <c r="C227" s="13"/>
      <c r="D227" s="13"/>
    </row>
    <row r="228" spans="1:4" x14ac:dyDescent="0.3">
      <c r="A228" s="2">
        <v>227</v>
      </c>
      <c r="B228" s="13">
        <f ca="1">'일자별 시가총액'!H228</f>
        <v>105.83383935742971</v>
      </c>
      <c r="C228" s="13"/>
      <c r="D228" s="13"/>
    </row>
    <row r="229" spans="1:4" x14ac:dyDescent="0.3">
      <c r="A229" s="2">
        <v>228</v>
      </c>
      <c r="B229" s="13">
        <f ca="1">'일자별 시가총액'!H229</f>
        <v>104.39012208835341</v>
      </c>
      <c r="C229" s="13"/>
      <c r="D229" s="13"/>
    </row>
    <row r="230" spans="1:4" x14ac:dyDescent="0.3">
      <c r="A230" s="2">
        <v>229</v>
      </c>
      <c r="B230" s="13">
        <f ca="1">'일자별 시가총액'!H230</f>
        <v>103.24667791164659</v>
      </c>
      <c r="C230" s="13"/>
      <c r="D230" s="13"/>
    </row>
    <row r="231" spans="1:4" x14ac:dyDescent="0.3">
      <c r="A231" s="2">
        <v>230</v>
      </c>
      <c r="B231" s="13">
        <f ca="1">'일자별 시가총액'!H231</f>
        <v>102.82744096385544</v>
      </c>
      <c r="C231" s="13"/>
      <c r="D231" s="13"/>
    </row>
    <row r="232" spans="1:4" x14ac:dyDescent="0.3">
      <c r="A232" s="2">
        <v>231</v>
      </c>
      <c r="B232" s="13">
        <f ca="1">'일자별 시가총액'!H232</f>
        <v>101.68297991967871</v>
      </c>
      <c r="C232" s="13"/>
      <c r="D232" s="13"/>
    </row>
    <row r="233" spans="1:4" x14ac:dyDescent="0.3">
      <c r="A233" s="2">
        <v>232</v>
      </c>
      <c r="B233" s="13">
        <f ca="1">'일자별 시가총액'!H233</f>
        <v>100.61048192771085</v>
      </c>
      <c r="C233" s="13"/>
      <c r="D233" s="13"/>
    </row>
    <row r="234" spans="1:4" x14ac:dyDescent="0.3">
      <c r="A234" s="2">
        <v>233</v>
      </c>
      <c r="B234" s="13">
        <f ca="1">'일자별 시가총액'!H234</f>
        <v>102.07832449799197</v>
      </c>
      <c r="C234" s="13"/>
      <c r="D234" s="13"/>
    </row>
    <row r="235" spans="1:4" x14ac:dyDescent="0.3">
      <c r="A235" s="2">
        <v>234</v>
      </c>
      <c r="B235" s="13">
        <f ca="1">'일자별 시가총액'!H235</f>
        <v>102.65189236947792</v>
      </c>
      <c r="C235" s="13"/>
      <c r="D235" s="13"/>
    </row>
    <row r="236" spans="1:4" x14ac:dyDescent="0.3">
      <c r="A236" s="2">
        <v>235</v>
      </c>
      <c r="B236" s="13">
        <f ca="1">'일자별 시가총액'!H236</f>
        <v>100.84492530120481</v>
      </c>
      <c r="C236" s="13"/>
      <c r="D236" s="13"/>
    </row>
    <row r="237" spans="1:4" x14ac:dyDescent="0.3">
      <c r="A237" s="2">
        <v>236</v>
      </c>
      <c r="B237" s="13">
        <f ca="1">'일자별 시가총액'!H237</f>
        <v>101.05976867469879</v>
      </c>
      <c r="C237" s="13"/>
      <c r="D237" s="13"/>
    </row>
    <row r="238" spans="1:4" x14ac:dyDescent="0.3">
      <c r="A238" s="2">
        <v>237</v>
      </c>
      <c r="B238" s="13">
        <f ca="1">'일자별 시가총액'!H238</f>
        <v>100.14241927710843</v>
      </c>
      <c r="C238" s="13"/>
      <c r="D238" s="13"/>
    </row>
    <row r="239" spans="1:4" x14ac:dyDescent="0.3">
      <c r="A239" s="2">
        <v>238</v>
      </c>
      <c r="B239" s="13">
        <f ca="1">'일자별 시가총액'!H239</f>
        <v>101.57066184738956</v>
      </c>
      <c r="C239" s="13"/>
      <c r="D239" s="13"/>
    </row>
    <row r="240" spans="1:4" x14ac:dyDescent="0.3">
      <c r="A240" s="2">
        <v>239</v>
      </c>
      <c r="B240" s="13">
        <f ca="1">'일자별 시가총액'!H240</f>
        <v>103.53605943775099</v>
      </c>
      <c r="C240" s="13"/>
      <c r="D240" s="13"/>
    </row>
    <row r="241" spans="1:4" x14ac:dyDescent="0.3">
      <c r="A241" s="2">
        <v>240</v>
      </c>
      <c r="B241" s="13">
        <f ca="1">'일자별 시가총액'!H241</f>
        <v>104.52517911646586</v>
      </c>
      <c r="C241" s="13"/>
      <c r="D241" s="13"/>
    </row>
    <row r="242" spans="1:4" x14ac:dyDescent="0.3">
      <c r="A242" s="2">
        <v>241</v>
      </c>
      <c r="B242" s="13">
        <f ca="1">'일자별 시가총액'!H242</f>
        <v>104.66530441767068</v>
      </c>
      <c r="C242" s="13"/>
      <c r="D242" s="13"/>
    </row>
    <row r="243" spans="1:4" x14ac:dyDescent="0.3">
      <c r="A243" s="2">
        <v>242</v>
      </c>
      <c r="B243" s="13">
        <f ca="1">'일자별 시가총액'!H243</f>
        <v>105.33447068273092</v>
      </c>
      <c r="C243" s="13"/>
      <c r="D243" s="13"/>
    </row>
    <row r="244" spans="1:4" x14ac:dyDescent="0.3">
      <c r="A244" s="2">
        <v>243</v>
      </c>
      <c r="B244" s="13">
        <f ca="1">'일자별 시가총액'!H244</f>
        <v>107.41277751004017</v>
      </c>
      <c r="C244" s="13"/>
      <c r="D244" s="13"/>
    </row>
    <row r="245" spans="1:4" x14ac:dyDescent="0.3">
      <c r="A245" s="2">
        <v>244</v>
      </c>
      <c r="B245" s="13">
        <f ca="1">'일자별 시가총액'!H245</f>
        <v>109.69087871485942</v>
      </c>
      <c r="C245" s="13"/>
      <c r="D245" s="13"/>
    </row>
    <row r="246" spans="1:4" x14ac:dyDescent="0.3">
      <c r="A246" s="2">
        <v>245</v>
      </c>
      <c r="B246" s="13">
        <f ca="1">'일자별 시가총액'!H246</f>
        <v>109.30905542168674</v>
      </c>
      <c r="C246" s="13"/>
      <c r="D246" s="13"/>
    </row>
    <row r="247" spans="1:4" x14ac:dyDescent="0.3">
      <c r="A247" s="2">
        <v>246</v>
      </c>
      <c r="B247" s="13">
        <f ca="1">'일자별 시가총액'!H247</f>
        <v>110.17141204819276</v>
      </c>
      <c r="C247" s="13"/>
      <c r="D247" s="13"/>
    </row>
    <row r="248" spans="1:4" x14ac:dyDescent="0.3">
      <c r="A248" s="2">
        <v>247</v>
      </c>
      <c r="B248" s="13">
        <f ca="1">'일자별 시가총액'!H248</f>
        <v>111.62214136546184</v>
      </c>
      <c r="C248" s="13"/>
      <c r="D248" s="13"/>
    </row>
    <row r="249" spans="1:4" x14ac:dyDescent="0.3">
      <c r="A249" s="2">
        <v>248</v>
      </c>
      <c r="B249" s="13">
        <f ca="1">'일자별 시가총액'!H249</f>
        <v>111.67284016064256</v>
      </c>
      <c r="C249" s="13"/>
      <c r="D249" s="13"/>
    </row>
    <row r="250" spans="1:4" x14ac:dyDescent="0.3">
      <c r="A250" s="2">
        <v>249</v>
      </c>
      <c r="B250" s="13">
        <f ca="1">'일자별 시가총액'!H250</f>
        <v>109.69300883534136</v>
      </c>
      <c r="C250" s="13"/>
      <c r="D250" s="13"/>
    </row>
    <row r="251" spans="1:4" x14ac:dyDescent="0.3">
      <c r="A251" s="2">
        <v>250</v>
      </c>
      <c r="B251" s="13">
        <f ca="1">'일자별 시가총액'!H251</f>
        <v>108.69781365461849</v>
      </c>
      <c r="C251" s="13"/>
      <c r="D251" s="13"/>
    </row>
    <row r="252" spans="1:4" x14ac:dyDescent="0.3">
      <c r="A252" s="2">
        <v>251</v>
      </c>
      <c r="B252" s="13">
        <f ca="1">'일자별 시가총액'!H252</f>
        <v>111.15533333333335</v>
      </c>
      <c r="C252" s="13"/>
      <c r="D252" s="13"/>
    </row>
    <row r="253" spans="1:4" x14ac:dyDescent="0.3">
      <c r="A253" s="2">
        <v>252</v>
      </c>
      <c r="B253" s="13">
        <f ca="1">'일자별 시가총액'!H253</f>
        <v>113.12430843373494</v>
      </c>
      <c r="C253" s="13"/>
      <c r="D253" s="13"/>
    </row>
    <row r="254" spans="1:4" x14ac:dyDescent="0.3">
      <c r="A254" s="1"/>
      <c r="B254" s="1"/>
    </row>
    <row r="255" spans="1:4" x14ac:dyDescent="0.3">
      <c r="A255" s="1"/>
      <c r="B255" s="1"/>
    </row>
    <row r="256" spans="1:4" x14ac:dyDescent="0.3">
      <c r="A256" s="1"/>
      <c r="B256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종목 기본정보</vt:lpstr>
      <vt:lpstr>일자별 주가</vt:lpstr>
      <vt:lpstr>일자별 시가총액</vt:lpstr>
      <vt:lpstr>선물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</dc:creator>
  <cp:lastModifiedBy>Han</cp:lastModifiedBy>
  <dcterms:created xsi:type="dcterms:W3CDTF">2019-12-10T16:16:29Z</dcterms:created>
  <dcterms:modified xsi:type="dcterms:W3CDTF">2019-12-29T14:18:29Z</dcterms:modified>
</cp:coreProperties>
</file>